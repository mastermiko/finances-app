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Novembre2025" sheetId="1" r:id="rId1"/>
    <sheet name="Decembre2025" sheetId="2" r:id="rId2"/>
    <sheet name="Janvier2026" sheetId="3" r:id="rId3"/>
    <sheet name="Fevrier2026" sheetId="4" r:id="rId4"/>
    <sheet name="Mars2026" sheetId="5" r:id="rId5"/>
    <sheet name="Avril2026" sheetId="6" r:id="rId6"/>
    <sheet name="Octobre2026" sheetId="7" r:id="rId7"/>
    <sheet name="Synthèse" sheetId="8" r:id="rId8"/>
  </sheets>
</workbook>
</file>

<file path=xl/sharedStrings.xml><?xml version="1.0" encoding="utf-8"?>
<sst xmlns="http://schemas.openxmlformats.org/spreadsheetml/2006/main" count="58" uniqueCount="58">
  <si>
    <t xml:space="preserve">Date</t>
  </si>
  <si>
    <t xml:space="preserve">Montant</t>
  </si>
  <si>
    <t xml:space="preserve">Type de dépense</t>
  </si>
  <si>
    <t xml:space="preserve">Libellé</t>
  </si>
  <si>
    <t xml:space="preserve">Budget restant</t>
  </si>
  <si>
    <t xml:space="preserve">Budget initial</t>
  </si>
  <si>
    <t xml:space="preserve">Logement</t>
  </si>
  <si>
    <t xml:space="preserve">Loyer</t>
  </si>
  <si>
    <t xml:space="preserve">Revenu</t>
  </si>
  <si>
    <t xml:space="preserve">Salaire alternance</t>
  </si>
  <si>
    <t xml:space="preserve">Transport</t>
  </si>
  <si>
    <t xml:space="preserve">Parking</t>
  </si>
  <si>
    <t xml:space="preserve">Alimentation</t>
  </si>
  <si>
    <t xml:space="preserve">Courses</t>
  </si>
  <si>
    <t xml:space="preserve">Café</t>
  </si>
  <si>
    <t xml:space="preserve">Loisirs</t>
  </si>
  <si>
    <t xml:space="preserve">Cinéma</t>
  </si>
  <si>
    <t xml:space="preserve">Livre</t>
  </si>
  <si>
    <t xml:space="preserve">APL</t>
  </si>
  <si>
    <t xml:space="preserve">ticket bus</t>
  </si>
  <si>
    <t xml:space="preserve">Internet box</t>
  </si>
  <si>
    <t xml:space="preserve">Boulangerie</t>
  </si>
  <si>
    <t xml:space="preserve">Train</t>
  </si>
  <si>
    <t xml:space="preserve">Cafe</t>
  </si>
  <si>
    <t xml:space="preserve">Électricité</t>
  </si>
  <si>
    <t xml:space="preserve">Ticket bus</t>
  </si>
  <si>
    <t xml:space="preserve">Essence</t>
  </si>
  <si>
    <t xml:space="preserve">Vente occasion</t>
  </si>
  <si>
    <t xml:space="preserve">Restaurant</t>
  </si>
  <si>
    <t xml:space="preserve">Marché</t>
  </si>
  <si>
    <t xml:space="preserve">CAFÉ</t>
  </si>
  <si>
    <t xml:space="preserve">café</t>
  </si>
  <si>
    <t xml:space="preserve">Prix café :</t>
  </si>
  <si>
    <t xml:space="preserve">sans date</t>
  </si>
  <si>
    <t xml:space="preserve">Abonnement musique</t>
  </si>
  <si>
    <t xml:space="preserve">Prime de fin d'année</t>
  </si>
  <si>
    <t xml:space="preserve">Cadeau anniversaire</t>
  </si>
  <si>
    <t xml:space="preserve">Ticket Bus</t>
  </si>
  <si>
    <t xml:space="preserve">Escalade</t>
  </si>
  <si>
    <t xml:space="preserve">Remboursement mutuelle</t>
  </si>
  <si>
    <t xml:space="preserve">Remboursement ami</t>
  </si>
  <si>
    <t xml:space="preserve">14/02/2026</t>
  </si>
  <si>
    <t xml:space="preserve">21/02/2026</t>
  </si>
  <si>
    <t xml:space="preserve">Type de Depense</t>
  </si>
  <si>
    <t xml:space="preserve">Libelle</t>
  </si>
  <si>
    <t xml:space="preserve">Job week-end</t>
  </si>
  <si>
    <t xml:space="preserve">Café </t>
  </si>
  <si>
    <t xml:space="preserve">-(1,2+1,2)</t>
  </si>
  <si>
    <t xml:space="preserve">Remboursement billet train</t>
  </si>
  <si>
    <t xml:space="preserve">Courses du mois</t>
  </si>
  <si>
    <t xml:space="preserve">Mois</t>
  </si>
  <si>
    <t xml:space="preserve">Novembre2025</t>
  </si>
  <si>
    <t xml:space="preserve">Decembre2025</t>
  </si>
  <si>
    <t xml:space="preserve">Janvier2026</t>
  </si>
  <si>
    <t xml:space="preserve">Fevrier2026</t>
  </si>
  <si>
    <t xml:space="preserve">Mars2026</t>
  </si>
  <si>
    <t xml:space="preserve">Avril2026</t>
  </si>
  <si>
    <t xml:space="preserve">Octobre2026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</si>
</sst>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1" customWidth="1"/>
    <col min="3" max="3" width="18" customWidth="1"/>
    <col min="4" max="4" width="28" customWidth="1"/>
    <col min="6" max="7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>
      <c r="B2" s="2">
        <v>-395</v>
      </c>
      <c r="C2" t="s">
        <v>6</v>
      </c>
      <c r="D2" t="s">
        <v>7</v>
      </c>
      <c r="F2" s="2">
        <f>G2+SUM(B2:B200)</f>
        <v>793.68</v>
      </c>
      <c r="G2" s="2">
        <v>420</v>
      </c>
    </row>
    <row r="3">
      <c r="A3" s="1">
        <v>45957</v>
      </c>
      <c r="B3" s="2">
        <v>1073.5</v>
      </c>
      <c r="C3" t="s">
        <v>8</v>
      </c>
      <c r="D3" t="s">
        <v>9</v>
      </c>
    </row>
    <row r="4">
      <c r="A4" s="1">
        <v>45962</v>
      </c>
      <c r="B4" s="2">
        <v>-4.76</v>
      </c>
      <c r="C4" t="s">
        <v>10</v>
      </c>
      <c r="D4" t="s">
        <v>11</v>
      </c>
    </row>
    <row r="5">
      <c r="A5" s="1">
        <v>45963</v>
      </c>
      <c r="B5" s="2">
        <v>-49.37</v>
      </c>
      <c r="C5" t="s">
        <v>12</v>
      </c>
      <c r="D5" t="s">
        <v>13</v>
      </c>
    </row>
    <row r="6">
      <c r="A6" s="1">
        <v>45963</v>
      </c>
      <c r="B6" s="2">
        <v>-1.9</v>
      </c>
      <c r="C6" t="s">
        <v>12</v>
      </c>
      <c r="D6" t="s">
        <v>14</v>
      </c>
    </row>
    <row r="7">
      <c r="A7" s="1">
        <v>45964</v>
      </c>
      <c r="B7" s="2">
        <v>-9.09</v>
      </c>
      <c r="C7" t="s">
        <v>15</v>
      </c>
      <c r="D7" t="s">
        <v>16</v>
      </c>
    </row>
    <row r="8">
      <c r="A8" s="1">
        <v>45964</v>
      </c>
      <c r="B8" s="2">
        <v>-21.16</v>
      </c>
      <c r="C8" t="s">
        <v>15</v>
      </c>
      <c r="D8" t="s">
        <v>17</v>
      </c>
    </row>
    <row r="9">
      <c r="A9" s="1">
        <v>45965</v>
      </c>
      <c r="B9" s="2">
        <v>-1.6</v>
      </c>
      <c r="C9" t="s">
        <v>12</v>
      </c>
      <c r="D9" t="s">
        <v>14</v>
      </c>
    </row>
    <row r="10">
      <c r="A10" s="1">
        <v>45965</v>
      </c>
      <c r="B10" s="2">
        <v>-2.2</v>
      </c>
      <c r="C10" t="s">
        <v>12</v>
      </c>
      <c r="D10" t="s">
        <v>14</v>
      </c>
    </row>
    <row r="11">
      <c r="A11" s="1">
        <v>45966</v>
      </c>
      <c r="B11" s="2">
        <v>182</v>
      </c>
      <c r="C11" t="s">
        <v>8</v>
      </c>
      <c r="D11" t="s">
        <v>18</v>
      </c>
    </row>
    <row r="12">
      <c r="A12" s="1">
        <v>45966</v>
      </c>
      <c r="B12" s="2">
        <v>-1.79</v>
      </c>
      <c r="C12" t="s">
        <v>10</v>
      </c>
      <c r="D12" t="s">
        <v>19</v>
      </c>
    </row>
    <row r="13">
      <c r="A13" s="1">
        <v>45967</v>
      </c>
      <c r="B13" s="2">
        <v>-63.58</v>
      </c>
      <c r="C13" t="s">
        <v>12</v>
      </c>
      <c r="D13" t="s">
        <v>13</v>
      </c>
    </row>
    <row r="14">
      <c r="A14" s="1">
        <v>45967</v>
      </c>
      <c r="B14" s="2">
        <v>-1.8</v>
      </c>
      <c r="C14" t="s">
        <v>12</v>
      </c>
      <c r="D14" t="s">
        <v>14</v>
      </c>
    </row>
    <row r="15">
      <c r="A15" s="1">
        <v>45968</v>
      </c>
      <c r="B15" s="2">
        <v>-1.8</v>
      </c>
      <c r="C15" t="s">
        <v>12</v>
      </c>
      <c r="D15" t="s">
        <v>14</v>
      </c>
    </row>
    <row r="16">
      <c r="A16" s="1">
        <v>45969</v>
      </c>
      <c r="B16" s="2">
        <v>-24.99</v>
      </c>
      <c r="C16" t="s">
        <v>6</v>
      </c>
      <c r="D16" t="s">
        <v>20</v>
      </c>
      <c r="O16" t="s">
        <v>32</v>
      </c>
      <c r="P16" s="2">
        <f>ABS(SUMIF(D2:D200,"Café",B2:B200))</f>
        <v>22.5</v>
      </c>
    </row>
    <row r="17">
      <c r="A17" s="1">
        <v>45969</v>
      </c>
      <c r="B17" s="2">
        <v>-1.87</v>
      </c>
      <c r="C17" t="s">
        <v>12</v>
      </c>
      <c r="D17" t="s">
        <v>21</v>
      </c>
    </row>
    <row r="18">
      <c r="A18" s="1">
        <v>45969</v>
      </c>
      <c r="B18" s="2">
        <v>-9.78</v>
      </c>
      <c r="C18" t="s">
        <v>15</v>
      </c>
      <c r="D18" t="s">
        <v>16</v>
      </c>
    </row>
    <row r="19">
      <c r="A19" s="1">
        <v>45970</v>
      </c>
      <c r="B19" s="2">
        <v>-10.99</v>
      </c>
      <c r="C19" t="s">
        <v>15</v>
      </c>
      <c r="D19" t="s">
        <v>16</v>
      </c>
    </row>
    <row r="20">
      <c r="A20" s="1">
        <v>45970</v>
      </c>
      <c r="B20" s="2">
        <v>-12.86</v>
      </c>
      <c r="C20" t="s">
        <v>10</v>
      </c>
      <c r="D20" t="s">
        <v>22</v>
      </c>
    </row>
    <row r="21">
      <c r="A21" s="1">
        <v>45970</v>
      </c>
      <c r="B21" s="2">
        <v>-15.51</v>
      </c>
      <c r="C21" t="s">
        <v>15</v>
      </c>
      <c r="D21" t="s">
        <v>17</v>
      </c>
    </row>
    <row r="22">
      <c r="A22" s="1">
        <v>45971</v>
      </c>
      <c r="B22" s="2">
        <v>-30.44</v>
      </c>
      <c r="C22" t="s">
        <v>12</v>
      </c>
      <c r="D22" t="s">
        <v>13</v>
      </c>
    </row>
    <row r="23">
      <c r="A23" s="1">
        <v>45971</v>
      </c>
      <c r="B23" s="2">
        <v>-1.6</v>
      </c>
      <c r="C23" t="s">
        <v>12</v>
      </c>
      <c r="D23" t="s">
        <v>23</v>
      </c>
    </row>
    <row r="24">
      <c r="A24" s="1">
        <v>45972</v>
      </c>
      <c r="B24" s="2">
        <v>-5.11</v>
      </c>
      <c r="C24" t="s">
        <v>12</v>
      </c>
      <c r="D24" t="s">
        <v>21</v>
      </c>
    </row>
    <row r="25">
      <c r="A25" s="1">
        <v>45972</v>
      </c>
      <c r="B25" s="2">
        <v>-2.4</v>
      </c>
      <c r="C25" t="s">
        <v>12</v>
      </c>
      <c r="D25" t="s">
        <v>14</v>
      </c>
    </row>
    <row r="26">
      <c r="A26" s="1">
        <v>45973</v>
      </c>
      <c r="B26" s="2">
        <v>-36.13</v>
      </c>
      <c r="C26" t="s">
        <v>6</v>
      </c>
      <c r="D26" t="s">
        <v>24</v>
      </c>
    </row>
    <row r="27">
      <c r="A27" s="1">
        <v>45973</v>
      </c>
      <c r="B27" s="2">
        <v>-2.4</v>
      </c>
      <c r="C27" t="s">
        <v>12</v>
      </c>
      <c r="D27" t="s">
        <v>14</v>
      </c>
    </row>
    <row r="28">
      <c r="A28" s="1">
        <v>45973</v>
      </c>
      <c r="B28" s="2">
        <v>-1.75</v>
      </c>
      <c r="C28" t="s">
        <v>10</v>
      </c>
      <c r="D28" t="s">
        <v>25</v>
      </c>
    </row>
    <row r="29">
      <c r="A29" s="1">
        <v>45975</v>
      </c>
      <c r="B29" s="2">
        <v>-1.79</v>
      </c>
      <c r="C29" t="s">
        <v>10</v>
      </c>
      <c r="D29" t="s">
        <v>25</v>
      </c>
    </row>
    <row r="30">
      <c r="A30" s="1">
        <v>45976</v>
      </c>
      <c r="B30" s="2">
        <v>-5.36</v>
      </c>
      <c r="C30" t="s">
        <v>12</v>
      </c>
      <c r="D30" t="s">
        <v>21</v>
      </c>
    </row>
    <row r="31">
      <c r="A31" s="1">
        <v>45978</v>
      </c>
      <c r="B31" s="2">
        <v>-53.3</v>
      </c>
      <c r="C31" t="s">
        <v>10</v>
      </c>
      <c r="D31" t="s">
        <v>26</v>
      </c>
    </row>
    <row r="32">
      <c r="A32" s="1">
        <v>45978</v>
      </c>
      <c r="B32" s="2">
        <v>-9.27</v>
      </c>
      <c r="C32" t="s">
        <v>15</v>
      </c>
      <c r="D32" t="s">
        <v>16</v>
      </c>
    </row>
    <row r="33">
      <c r="A33" s="1">
        <v>45978</v>
      </c>
      <c r="B33" s="2">
        <v>-4.41</v>
      </c>
      <c r="C33" t="s">
        <v>12</v>
      </c>
      <c r="D33" t="s">
        <v>21</v>
      </c>
    </row>
    <row r="34">
      <c r="A34" s="1">
        <v>45979</v>
      </c>
      <c r="B34" s="2">
        <v>-2.4</v>
      </c>
      <c r="C34" t="s">
        <v>12</v>
      </c>
      <c r="D34" t="s">
        <v>14</v>
      </c>
    </row>
    <row r="35">
      <c r="A35" s="1">
        <v>45980</v>
      </c>
      <c r="B35" s="2">
        <v>45</v>
      </c>
      <c r="C35" t="s">
        <v>8</v>
      </c>
      <c r="D35" t="s">
        <v>27</v>
      </c>
    </row>
    <row r="36">
      <c r="A36" s="1">
        <v>45980</v>
      </c>
      <c r="B36" s="2">
        <v>-21.65</v>
      </c>
      <c r="C36" t="s">
        <v>15</v>
      </c>
      <c r="D36" t="s">
        <v>28</v>
      </c>
    </row>
    <row r="37">
      <c r="A37" s="1">
        <v>45982</v>
      </c>
      <c r="B37" s="2">
        <v>-5.35</v>
      </c>
      <c r="C37" t="s">
        <v>10</v>
      </c>
      <c r="D37" t="s">
        <v>11</v>
      </c>
    </row>
    <row r="38">
      <c r="A38" s="1">
        <v>45982</v>
      </c>
      <c r="B38" s="2">
        <v>-23.63</v>
      </c>
      <c r="C38" t="s">
        <v>12</v>
      </c>
      <c r="D38" t="s">
        <v>29</v>
      </c>
    </row>
    <row r="39">
      <c r="A39" s="1">
        <v>45982</v>
      </c>
      <c r="B39" s="2">
        <v>-1.77</v>
      </c>
      <c r="C39" t="s">
        <v>10</v>
      </c>
      <c r="D39" t="s">
        <v>25</v>
      </c>
    </row>
    <row r="40">
      <c r="A40" s="1">
        <v>45982</v>
      </c>
      <c r="B40" s="2">
        <v>-1.7</v>
      </c>
      <c r="C40" t="s">
        <v>12</v>
      </c>
      <c r="D40" t="s">
        <v>14</v>
      </c>
    </row>
    <row r="41">
      <c r="A41" s="1">
        <v>45984</v>
      </c>
      <c r="B41" s="2">
        <v>-1.74</v>
      </c>
      <c r="C41" t="s">
        <v>10</v>
      </c>
      <c r="D41" t="s">
        <v>25</v>
      </c>
    </row>
    <row r="42">
      <c r="A42" s="1">
        <v>45984</v>
      </c>
      <c r="B42" s="2">
        <v>-12.9</v>
      </c>
      <c r="C42" t="s">
        <v>15</v>
      </c>
      <c r="D42" t="s">
        <v>17</v>
      </c>
    </row>
    <row r="43">
      <c r="A43" s="1">
        <v>45984</v>
      </c>
      <c r="B43" s="2">
        <v>-1.2</v>
      </c>
      <c r="C43" t="s">
        <v>12</v>
      </c>
      <c r="D43" t="s">
        <v>30</v>
      </c>
    </row>
    <row r="44">
      <c r="A44" s="1">
        <v>45984</v>
      </c>
      <c r="B44" s="2">
        <v>-5.03</v>
      </c>
      <c r="C44" t="s">
        <v>10</v>
      </c>
      <c r="D44" t="s">
        <v>11</v>
      </c>
    </row>
    <row r="45">
      <c r="A45" s="1">
        <v>45985</v>
      </c>
      <c r="B45" s="2">
        <v>-31.29</v>
      </c>
      <c r="C45" t="s">
        <v>12</v>
      </c>
      <c r="D45" t="s">
        <v>13</v>
      </c>
    </row>
    <row r="46">
      <c r="A46" s="1">
        <v>45988</v>
      </c>
      <c r="B46" s="2">
        <v>-1.2</v>
      </c>
      <c r="C46" t="s">
        <v>12</v>
      </c>
      <c r="D46" t="s">
        <v>14</v>
      </c>
    </row>
    <row r="47">
      <c r="A47" s="1">
        <v>45988</v>
      </c>
      <c r="B47" s="2">
        <v>-10.59</v>
      </c>
      <c r="C47" t="s">
        <v>15</v>
      </c>
      <c r="D47" t="s">
        <v>16</v>
      </c>
    </row>
    <row r="48">
      <c r="A48" s="1">
        <v>45988</v>
      </c>
      <c r="B48" s="2">
        <v>-1.72</v>
      </c>
      <c r="C48" t="s">
        <v>10</v>
      </c>
      <c r="D48" t="s">
        <v>25</v>
      </c>
    </row>
    <row r="49">
      <c r="A49" s="1">
        <v>45988</v>
      </c>
      <c r="B49" s="2">
        <v>-1.9</v>
      </c>
      <c r="C49" t="s">
        <v>12</v>
      </c>
      <c r="D49" t="s">
        <v>31</v>
      </c>
    </row>
    <row r="50">
      <c r="A50" s="1">
        <v>45988</v>
      </c>
      <c r="B50" s="2">
        <v>-10.49</v>
      </c>
      <c r="C50" t="s">
        <v>15</v>
      </c>
      <c r="D50" t="s">
        <v>16</v>
      </c>
    </row>
    <row r="51">
      <c r="A51" s="1">
        <v>45989</v>
      </c>
      <c r="B51" s="2">
        <v>-8.25</v>
      </c>
      <c r="C51" t="s">
        <v>15</v>
      </c>
      <c r="D51" t="s">
        <v>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1" customWidth="1"/>
    <col min="3" max="3" width="18" customWidth="1"/>
    <col min="4" max="4" width="28" customWidth="1"/>
    <col min="6" max="7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>
      <c r="B2" s="2">
        <v>-395</v>
      </c>
      <c r="C2" t="s">
        <v>6</v>
      </c>
      <c r="D2" t="s">
        <v>7</v>
      </c>
      <c r="F2" s="2">
        <f>G2+SUM(B2:B200)</f>
        <v>1342.61</v>
      </c>
      <c r="G2" s="2">
        <f>Novembre2025!F2</f>
        <v>793.68</v>
      </c>
    </row>
    <row r="3">
      <c r="A3" t="s">
        <v>33</v>
      </c>
      <c r="B3" s="2">
        <v>-10.99</v>
      </c>
      <c r="C3" t="s">
        <v>15</v>
      </c>
      <c r="D3" t="s">
        <v>34</v>
      </c>
    </row>
    <row r="4">
      <c r="A4" s="1">
        <v>45989</v>
      </c>
      <c r="B4" s="2">
        <v>1092</v>
      </c>
      <c r="C4" t="s">
        <v>8</v>
      </c>
      <c r="D4" t="s">
        <v>9</v>
      </c>
    </row>
    <row r="5">
      <c r="A5" s="1">
        <v>45993</v>
      </c>
      <c r="B5" s="2">
        <v>-2.3</v>
      </c>
      <c r="C5" t="s">
        <v>12</v>
      </c>
      <c r="D5" t="s">
        <v>14</v>
      </c>
    </row>
    <row r="6">
      <c r="A6" s="1">
        <v>45994</v>
      </c>
      <c r="B6" s="2">
        <v>-2</v>
      </c>
      <c r="C6" t="s">
        <v>12</v>
      </c>
      <c r="D6" t="s">
        <v>14</v>
      </c>
    </row>
    <row r="7">
      <c r="A7" s="1">
        <v>45994</v>
      </c>
      <c r="B7" s="2">
        <v>-2.7</v>
      </c>
      <c r="C7" t="s">
        <v>12</v>
      </c>
      <c r="D7" t="s">
        <v>14</v>
      </c>
    </row>
    <row r="8">
      <c r="A8" s="1">
        <v>45995</v>
      </c>
      <c r="B8" s="2">
        <v>150</v>
      </c>
      <c r="C8" t="s">
        <v>8</v>
      </c>
      <c r="D8" t="s">
        <v>35</v>
      </c>
    </row>
    <row r="9">
      <c r="A9" s="1">
        <v>45995</v>
      </c>
      <c r="B9" s="2">
        <v>-1.79</v>
      </c>
      <c r="C9" t="s">
        <v>10</v>
      </c>
      <c r="D9" t="s">
        <v>25</v>
      </c>
    </row>
    <row r="10">
      <c r="A10" s="1">
        <v>45995</v>
      </c>
      <c r="B10" s="2">
        <v>-25.63</v>
      </c>
      <c r="C10" t="s">
        <v>10</v>
      </c>
      <c r="D10" t="s">
        <v>22</v>
      </c>
    </row>
    <row r="11">
      <c r="A11" s="1">
        <v>45996</v>
      </c>
      <c r="B11" s="2">
        <v>182</v>
      </c>
      <c r="C11" t="s">
        <v>8</v>
      </c>
      <c r="D11" t="s">
        <v>18</v>
      </c>
    </row>
    <row r="12">
      <c r="A12" s="1">
        <v>45996</v>
      </c>
      <c r="B12" s="2">
        <v>-24.54</v>
      </c>
      <c r="C12" t="s">
        <v>15</v>
      </c>
      <c r="D12" t="s">
        <v>28</v>
      </c>
    </row>
    <row r="13">
      <c r="A13" s="1">
        <v>45997</v>
      </c>
      <c r="B13" s="2">
        <v>-5.37</v>
      </c>
      <c r="C13" t="s">
        <v>12</v>
      </c>
      <c r="D13" t="s">
        <v>21</v>
      </c>
    </row>
    <row r="14">
      <c r="A14" s="1">
        <v>45998</v>
      </c>
      <c r="B14" s="2">
        <v>-2.7</v>
      </c>
      <c r="C14" t="s">
        <v>12</v>
      </c>
      <c r="D14" t="s">
        <v>30</v>
      </c>
    </row>
    <row r="15">
      <c r="A15" s="1">
        <v>45998</v>
      </c>
      <c r="B15" s="2">
        <v>-4.44</v>
      </c>
      <c r="C15" t="s">
        <v>12</v>
      </c>
      <c r="D15" t="s">
        <v>21</v>
      </c>
    </row>
    <row r="16">
      <c r="A16" s="1">
        <v>45998</v>
      </c>
      <c r="B16" s="2">
        <v>-2.6</v>
      </c>
      <c r="C16" t="s">
        <v>12</v>
      </c>
      <c r="D16" t="s">
        <v>14</v>
      </c>
    </row>
    <row r="17">
      <c r="A17" s="1">
        <v>45999</v>
      </c>
      <c r="B17" s="2">
        <v>-24.99</v>
      </c>
      <c r="C17" t="s">
        <v>6</v>
      </c>
      <c r="D17" t="s">
        <v>20</v>
      </c>
    </row>
    <row r="18">
      <c r="A18" s="1">
        <v>45999</v>
      </c>
      <c r="B18" s="2">
        <v>-1.1</v>
      </c>
      <c r="C18" t="s">
        <v>12</v>
      </c>
      <c r="D18" t="s">
        <v>14</v>
      </c>
    </row>
    <row r="19">
      <c r="A19" s="1">
        <v>46000</v>
      </c>
      <c r="B19" s="2">
        <v>-1.4</v>
      </c>
      <c r="C19" t="s">
        <v>12</v>
      </c>
      <c r="D19" t="s">
        <v>23</v>
      </c>
    </row>
    <row r="20">
      <c r="A20" s="1">
        <v>46001</v>
      </c>
      <c r="B20" s="2">
        <v>-3.1</v>
      </c>
      <c r="C20" t="s">
        <v>12</v>
      </c>
      <c r="D20" t="s">
        <v>21</v>
      </c>
    </row>
    <row r="21">
      <c r="A21" s="1">
        <v>46001</v>
      </c>
      <c r="B21" s="2">
        <v>-18.07</v>
      </c>
      <c r="C21" t="s">
        <v>12</v>
      </c>
      <c r="D21" t="s">
        <v>13</v>
      </c>
    </row>
    <row r="22">
      <c r="A22" s="1">
        <v>46002</v>
      </c>
      <c r="B22" s="2">
        <v>-1.79</v>
      </c>
      <c r="C22" t="s">
        <v>10</v>
      </c>
      <c r="D22" t="s">
        <v>25</v>
      </c>
    </row>
    <row r="23">
      <c r="A23" s="1">
        <v>46003</v>
      </c>
      <c r="B23" s="2">
        <v>-36.71</v>
      </c>
      <c r="C23" t="s">
        <v>6</v>
      </c>
      <c r="D23" t="s">
        <v>24</v>
      </c>
    </row>
    <row r="24">
      <c r="A24" s="1">
        <v>46003</v>
      </c>
      <c r="B24" s="2">
        <v>-1.71</v>
      </c>
      <c r="C24" t="s">
        <v>10</v>
      </c>
      <c r="D24" t="s">
        <v>25</v>
      </c>
    </row>
    <row r="25">
      <c r="A25" s="1">
        <v>46004</v>
      </c>
      <c r="B25" s="2">
        <v>-1.94</v>
      </c>
      <c r="C25" t="s">
        <v>12</v>
      </c>
      <c r="D25" t="s">
        <v>21</v>
      </c>
    </row>
    <row r="26">
      <c r="A26" s="1">
        <v>46005</v>
      </c>
      <c r="B26" s="2">
        <v>-9.05</v>
      </c>
      <c r="C26" t="s">
        <v>15</v>
      </c>
      <c r="D26" t="s">
        <v>16</v>
      </c>
    </row>
    <row r="27">
      <c r="A27" s="1">
        <v>46005</v>
      </c>
      <c r="B27" s="2">
        <v>-20.8</v>
      </c>
      <c r="C27" t="s">
        <v>15</v>
      </c>
      <c r="D27" t="s">
        <v>17</v>
      </c>
    </row>
    <row r="28">
      <c r="A28" s="1">
        <v>46006</v>
      </c>
      <c r="B28" s="2">
        <v>-30.92</v>
      </c>
      <c r="C28" t="s">
        <v>12</v>
      </c>
      <c r="D28" t="s">
        <v>13</v>
      </c>
    </row>
    <row r="29">
      <c r="A29" s="1">
        <v>46006</v>
      </c>
      <c r="B29" s="2">
        <v>-3.44</v>
      </c>
      <c r="C29" t="s">
        <v>12</v>
      </c>
      <c r="D29" t="s">
        <v>21</v>
      </c>
    </row>
    <row r="30">
      <c r="A30" s="1">
        <v>46007</v>
      </c>
      <c r="B30" s="2">
        <v>50</v>
      </c>
      <c r="C30" t="s">
        <v>8</v>
      </c>
      <c r="D30" t="s">
        <v>36</v>
      </c>
    </row>
    <row r="31">
      <c r="A31" s="1">
        <v>46007</v>
      </c>
      <c r="B31" s="2">
        <v>-2.3</v>
      </c>
      <c r="C31" t="s">
        <v>12</v>
      </c>
      <c r="D31" t="s">
        <v>23</v>
      </c>
    </row>
    <row r="32">
      <c r="A32" s="1">
        <v>46007</v>
      </c>
      <c r="B32" s="2">
        <v>-15.72</v>
      </c>
      <c r="C32" t="s">
        <v>12</v>
      </c>
      <c r="D32" t="s">
        <v>13</v>
      </c>
    </row>
    <row r="33">
      <c r="A33" s="1">
        <v>46007</v>
      </c>
      <c r="B33" s="2">
        <v>-54.15</v>
      </c>
      <c r="C33" t="s">
        <v>12</v>
      </c>
      <c r="D33" t="s">
        <v>13</v>
      </c>
    </row>
    <row r="34">
      <c r="A34" s="1">
        <v>46008</v>
      </c>
      <c r="B34" s="2">
        <v>-1.4</v>
      </c>
      <c r="C34" t="s">
        <v>12</v>
      </c>
      <c r="D34" t="s">
        <v>14</v>
      </c>
    </row>
    <row r="35">
      <c r="A35" s="1">
        <v>46008</v>
      </c>
      <c r="B35" s="2">
        <v>-5.02</v>
      </c>
      <c r="C35" t="s">
        <v>12</v>
      </c>
      <c r="D35" t="s">
        <v>21</v>
      </c>
    </row>
    <row r="36">
      <c r="A36" s="1">
        <v>46009</v>
      </c>
      <c r="B36" s="2">
        <v>-15.82</v>
      </c>
      <c r="C36" t="s">
        <v>12</v>
      </c>
      <c r="D36" t="s">
        <v>13</v>
      </c>
    </row>
    <row r="37">
      <c r="A37" s="1">
        <v>46009</v>
      </c>
      <c r="B37" s="2">
        <v>-1.6</v>
      </c>
      <c r="C37" t="s">
        <v>12</v>
      </c>
      <c r="D37" t="s">
        <v>14</v>
      </c>
    </row>
    <row r="38">
      <c r="A38" s="1">
        <v>46009</v>
      </c>
      <c r="B38" s="2">
        <v>-3.97</v>
      </c>
      <c r="C38" t="s">
        <v>12</v>
      </c>
      <c r="D38" t="s">
        <v>21</v>
      </c>
    </row>
    <row r="39">
      <c r="A39" s="1">
        <v>46010</v>
      </c>
      <c r="B39" s="2">
        <v>-1.9</v>
      </c>
      <c r="C39" t="s">
        <v>12</v>
      </c>
      <c r="D39" t="s">
        <v>31</v>
      </c>
    </row>
    <row r="40">
      <c r="A40" s="1">
        <v>46010</v>
      </c>
      <c r="B40" s="2">
        <v>-4.52</v>
      </c>
      <c r="C40" t="s">
        <v>12</v>
      </c>
      <c r="D40" t="s">
        <v>21</v>
      </c>
    </row>
    <row r="41">
      <c r="A41" s="1">
        <v>46011</v>
      </c>
      <c r="B41" s="2">
        <v>-1.78</v>
      </c>
      <c r="C41" t="s">
        <v>10</v>
      </c>
      <c r="D41" t="s">
        <v>25</v>
      </c>
    </row>
    <row r="42">
      <c r="A42" s="1">
        <v>46011</v>
      </c>
      <c r="B42" s="2">
        <v>-32.81</v>
      </c>
      <c r="C42" t="s">
        <v>12</v>
      </c>
      <c r="D42" t="s">
        <v>13</v>
      </c>
    </row>
    <row r="43">
      <c r="A43" s="1">
        <v>46011</v>
      </c>
      <c r="B43" s="2">
        <v>-16.77</v>
      </c>
      <c r="C43" t="s">
        <v>12</v>
      </c>
      <c r="D43" t="s">
        <v>13</v>
      </c>
    </row>
    <row r="44">
      <c r="A44" s="1">
        <v>46012</v>
      </c>
      <c r="B44" s="2">
        <v>-55</v>
      </c>
      <c r="C44" t="s">
        <v>12</v>
      </c>
      <c r="D44" t="s">
        <v>13</v>
      </c>
    </row>
    <row r="45">
      <c r="A45" s="1">
        <v>46013</v>
      </c>
      <c r="B45" s="2">
        <v>-1.9</v>
      </c>
      <c r="C45" t="s">
        <v>12</v>
      </c>
      <c r="D45" t="s">
        <v>14</v>
      </c>
    </row>
    <row r="46">
      <c r="A46" s="1">
        <v>46014</v>
      </c>
      <c r="B46" s="2">
        <v>-9.11</v>
      </c>
      <c r="C46" t="s">
        <v>15</v>
      </c>
      <c r="D46" t="s">
        <v>16</v>
      </c>
    </row>
    <row r="47">
      <c r="A47" s="1">
        <v>46014</v>
      </c>
      <c r="B47" s="2">
        <v>-2.8</v>
      </c>
      <c r="C47" t="s">
        <v>12</v>
      </c>
      <c r="D47" t="s">
        <v>14</v>
      </c>
    </row>
    <row r="48">
      <c r="A48" s="1">
        <v>46015</v>
      </c>
      <c r="B48" s="2">
        <v>-1.73</v>
      </c>
      <c r="C48" t="s">
        <v>10</v>
      </c>
      <c r="D48" t="s">
        <v>25</v>
      </c>
    </row>
    <row r="49">
      <c r="A49" s="1">
        <v>46016</v>
      </c>
      <c r="B49" s="2">
        <v>-1.7</v>
      </c>
      <c r="C49" t="s">
        <v>12</v>
      </c>
      <c r="D49" t="s">
        <v>14</v>
      </c>
    </row>
    <row r="50">
      <c r="A50" s="1">
        <v>46016</v>
      </c>
      <c r="B50" s="2">
        <v>-54.36</v>
      </c>
      <c r="C50" t="s">
        <v>10</v>
      </c>
      <c r="D50" t="s">
        <v>26</v>
      </c>
    </row>
    <row r="51">
      <c r="A51" s="1">
        <v>46016</v>
      </c>
      <c r="B51" s="2">
        <v>-1.3</v>
      </c>
      <c r="C51" t="s">
        <v>12</v>
      </c>
      <c r="D51" t="s">
        <v>14</v>
      </c>
    </row>
    <row r="52">
      <c r="A52" s="1">
        <v>46018</v>
      </c>
      <c r="B52" s="2">
        <v>-1.73</v>
      </c>
      <c r="C52" t="s">
        <v>10</v>
      </c>
      <c r="D52" t="s">
        <v>37</v>
      </c>
    </row>
    <row r="53">
      <c r="A53" s="1">
        <v>46018</v>
      </c>
      <c r="B53" s="2">
        <v>-2.6</v>
      </c>
      <c r="C53" t="s">
        <v>12</v>
      </c>
      <c r="D53" t="s">
        <v>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1" customWidth="1"/>
    <col min="3" max="3" width="18" customWidth="1"/>
    <col min="4" max="4" width="28" customWidth="1"/>
    <col min="6" max="7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>
      <c r="B2" s="2">
        <v>-395</v>
      </c>
      <c r="C2" t="s">
        <v>6</v>
      </c>
      <c r="D2" t="s">
        <v>7</v>
      </c>
      <c r="F2" s="2">
        <f>G2+SUM(B2:B200)</f>
        <v>1576.3</v>
      </c>
      <c r="G2" s="2">
        <f>Decembre2025!F2</f>
        <v>1342.61</v>
      </c>
    </row>
    <row r="3">
      <c r="A3" t="s">
        <v>33</v>
      </c>
      <c r="B3" s="2">
        <v>-10.99</v>
      </c>
      <c r="C3" t="s">
        <v>15</v>
      </c>
      <c r="D3" t="s">
        <v>34</v>
      </c>
    </row>
    <row r="4">
      <c r="A4" s="1">
        <v>45663</v>
      </c>
      <c r="B4" s="2">
        <v>-3.45</v>
      </c>
      <c r="C4" t="s">
        <v>12</v>
      </c>
      <c r="D4" t="s">
        <v>21</v>
      </c>
    </row>
    <row r="5">
      <c r="A5" s="1">
        <v>46017</v>
      </c>
      <c r="B5" s="2">
        <v>1114</v>
      </c>
      <c r="C5" t="s">
        <v>8</v>
      </c>
      <c r="D5" t="s">
        <v>9</v>
      </c>
    </row>
    <row r="6">
      <c r="A6" s="1">
        <v>46023</v>
      </c>
      <c r="B6" s="2">
        <v>-50.14</v>
      </c>
      <c r="C6" t="s">
        <v>12</v>
      </c>
      <c r="D6" t="s">
        <v>13</v>
      </c>
    </row>
    <row r="7">
      <c r="A7" s="1">
        <v>46023</v>
      </c>
      <c r="B7" s="2">
        <v>-50.04</v>
      </c>
      <c r="C7" t="s">
        <v>10</v>
      </c>
      <c r="D7" t="s">
        <v>26</v>
      </c>
    </row>
    <row r="8">
      <c r="A8" s="1">
        <v>46024</v>
      </c>
      <c r="B8" s="2">
        <v>-23.72</v>
      </c>
      <c r="C8" t="s">
        <v>12</v>
      </c>
      <c r="D8" t="s">
        <v>29</v>
      </c>
    </row>
    <row r="9">
      <c r="A9" s="1">
        <v>46026</v>
      </c>
      <c r="B9" s="2">
        <v>-16.07</v>
      </c>
      <c r="C9" t="s">
        <v>12</v>
      </c>
      <c r="D9" t="s">
        <v>29</v>
      </c>
    </row>
    <row r="10">
      <c r="A10" s="1">
        <v>46026</v>
      </c>
      <c r="B10" s="2">
        <v>-2.8</v>
      </c>
      <c r="C10" t="s">
        <v>12</v>
      </c>
      <c r="D10" t="s">
        <v>14</v>
      </c>
    </row>
    <row r="11">
      <c r="A11" s="1">
        <v>46026</v>
      </c>
      <c r="B11" s="2">
        <v>-50.32</v>
      </c>
      <c r="C11" t="s">
        <v>12</v>
      </c>
      <c r="D11" t="s">
        <v>13</v>
      </c>
    </row>
    <row r="12">
      <c r="A12" s="1">
        <v>46027</v>
      </c>
      <c r="B12" s="2">
        <v>182</v>
      </c>
      <c r="C12" t="s">
        <v>8</v>
      </c>
      <c r="D12" t="s">
        <v>18</v>
      </c>
    </row>
    <row r="13">
      <c r="A13" s="1">
        <v>46027</v>
      </c>
      <c r="B13" s="2">
        <v>-9.26</v>
      </c>
      <c r="C13" t="s">
        <v>15</v>
      </c>
      <c r="D13" t="s">
        <v>38</v>
      </c>
    </row>
    <row r="14">
      <c r="A14" s="1">
        <v>46028</v>
      </c>
      <c r="B14" s="2">
        <v>23.4</v>
      </c>
      <c r="C14" t="s">
        <v>8</v>
      </c>
      <c r="D14" t="s">
        <v>39</v>
      </c>
    </row>
    <row r="15">
      <c r="A15" s="1">
        <v>46028</v>
      </c>
      <c r="B15" s="2">
        <v>-14.09</v>
      </c>
      <c r="C15" t="s">
        <v>12</v>
      </c>
      <c r="D15" t="s">
        <v>13</v>
      </c>
    </row>
    <row r="16">
      <c r="A16" s="1">
        <v>46028</v>
      </c>
      <c r="B16" s="2">
        <v>-2.4</v>
      </c>
      <c r="C16" t="s">
        <v>12</v>
      </c>
      <c r="D16" t="s">
        <v>23</v>
      </c>
    </row>
    <row r="17">
      <c r="A17" s="1">
        <v>46030</v>
      </c>
      <c r="B17" s="2">
        <v>-24.99</v>
      </c>
      <c r="C17" t="s">
        <v>6</v>
      </c>
      <c r="D17" t="s">
        <v>20</v>
      </c>
    </row>
    <row r="18">
      <c r="A18" s="1">
        <v>46030</v>
      </c>
      <c r="B18" s="2">
        <v>-4.77</v>
      </c>
      <c r="C18" t="s">
        <v>12</v>
      </c>
      <c r="D18" t="s">
        <v>21</v>
      </c>
    </row>
    <row r="19">
      <c r="A19" s="1">
        <v>46031</v>
      </c>
      <c r="B19" s="2">
        <v>30</v>
      </c>
      <c r="C19" t="s">
        <v>8</v>
      </c>
      <c r="D19" t="s">
        <v>27</v>
      </c>
    </row>
    <row r="20">
      <c r="A20" s="1">
        <v>46031</v>
      </c>
      <c r="B20" s="2">
        <v>-1.76</v>
      </c>
      <c r="C20" t="s">
        <v>10</v>
      </c>
      <c r="D20" t="s">
        <v>25</v>
      </c>
    </row>
    <row r="21">
      <c r="A21" s="1">
        <v>46033</v>
      </c>
      <c r="B21" s="2">
        <v>-5.74</v>
      </c>
      <c r="C21" t="s">
        <v>12</v>
      </c>
      <c r="D21" t="s">
        <v>21</v>
      </c>
    </row>
    <row r="22">
      <c r="A22" s="1">
        <v>46033</v>
      </c>
      <c r="B22" s="2">
        <v>-51.3</v>
      </c>
      <c r="C22" t="s">
        <v>12</v>
      </c>
      <c r="D22" t="s">
        <v>13</v>
      </c>
    </row>
    <row r="23">
      <c r="A23" s="1">
        <v>46034</v>
      </c>
      <c r="B23" s="2">
        <v>-35.11</v>
      </c>
      <c r="C23" t="s">
        <v>6</v>
      </c>
      <c r="D23" t="s">
        <v>24</v>
      </c>
    </row>
    <row r="24">
      <c r="A24" s="1">
        <v>46034</v>
      </c>
      <c r="B24" s="2">
        <v>-1.5</v>
      </c>
      <c r="C24" t="s">
        <v>12</v>
      </c>
      <c r="D24" t="s">
        <v>14</v>
      </c>
    </row>
    <row r="25">
      <c r="A25" s="1">
        <v>46034</v>
      </c>
      <c r="B25" s="2">
        <v>-1.9</v>
      </c>
      <c r="C25" t="s">
        <v>12</v>
      </c>
      <c r="D25" t="s">
        <v>31</v>
      </c>
    </row>
    <row r="26">
      <c r="A26" s="1">
        <v>46035</v>
      </c>
      <c r="B26" s="2">
        <v>-8.54</v>
      </c>
      <c r="C26" t="s">
        <v>10</v>
      </c>
      <c r="D26" t="s">
        <v>11</v>
      </c>
    </row>
    <row r="27">
      <c r="A27" s="1">
        <v>46035</v>
      </c>
      <c r="B27" s="2">
        <v>-17.37</v>
      </c>
      <c r="C27" t="s">
        <v>10</v>
      </c>
      <c r="D27" t="s">
        <v>22</v>
      </c>
    </row>
    <row r="28">
      <c r="A28" s="1">
        <v>46035</v>
      </c>
      <c r="B28" s="2">
        <v>-52.48</v>
      </c>
      <c r="C28" t="s">
        <v>12</v>
      </c>
      <c r="D28" t="s">
        <v>13</v>
      </c>
    </row>
    <row r="29">
      <c r="A29" s="1">
        <v>46036</v>
      </c>
      <c r="B29" s="2">
        <v>-1.8</v>
      </c>
      <c r="C29" t="s">
        <v>10</v>
      </c>
      <c r="D29" t="s">
        <v>25</v>
      </c>
    </row>
    <row r="30">
      <c r="A30" s="1">
        <v>46036</v>
      </c>
      <c r="B30" s="2">
        <v>-1.4</v>
      </c>
      <c r="C30" t="s">
        <v>12</v>
      </c>
      <c r="D30" t="s">
        <v>31</v>
      </c>
    </row>
    <row r="31">
      <c r="A31" s="1">
        <v>46037</v>
      </c>
      <c r="B31" s="2">
        <v>-2.7</v>
      </c>
      <c r="C31" t="s">
        <v>12</v>
      </c>
      <c r="D31" t="s">
        <v>14</v>
      </c>
    </row>
    <row r="32">
      <c r="A32" s="1">
        <v>46037</v>
      </c>
      <c r="B32" s="2">
        <v>-2.6</v>
      </c>
      <c r="C32" t="s">
        <v>12</v>
      </c>
      <c r="D32" t="s">
        <v>31</v>
      </c>
    </row>
    <row r="33">
      <c r="A33" s="1">
        <v>46038</v>
      </c>
      <c r="B33" s="2">
        <v>-1.5</v>
      </c>
      <c r="C33" t="s">
        <v>12</v>
      </c>
      <c r="D33" t="s">
        <v>14</v>
      </c>
    </row>
    <row r="34">
      <c r="A34" s="1">
        <v>46038</v>
      </c>
      <c r="B34" s="2">
        <v>-42.75</v>
      </c>
      <c r="C34" t="s">
        <v>10</v>
      </c>
      <c r="D34" t="s">
        <v>26</v>
      </c>
    </row>
    <row r="35">
      <c r="A35" s="1">
        <v>46038</v>
      </c>
      <c r="B35" s="2">
        <v>-4.94</v>
      </c>
      <c r="C35" t="s">
        <v>12</v>
      </c>
      <c r="D35" t="s">
        <v>21</v>
      </c>
    </row>
    <row r="36">
      <c r="A36" s="1">
        <v>46039</v>
      </c>
      <c r="B36" s="2">
        <v>-37.27</v>
      </c>
      <c r="C36" t="s">
        <v>10</v>
      </c>
      <c r="D36" t="s">
        <v>26</v>
      </c>
    </row>
    <row r="37">
      <c r="A37" s="1">
        <v>46041</v>
      </c>
      <c r="B37" s="2">
        <v>-2.1</v>
      </c>
      <c r="C37" t="s">
        <v>12</v>
      </c>
      <c r="D37" t="s">
        <v>23</v>
      </c>
    </row>
    <row r="38">
      <c r="A38" s="1">
        <v>46042</v>
      </c>
      <c r="B38" s="2">
        <v>-2.87</v>
      </c>
      <c r="C38" t="s">
        <v>12</v>
      </c>
      <c r="D38" t="s">
        <v>21</v>
      </c>
    </row>
    <row r="39">
      <c r="A39" s="1">
        <v>46042</v>
      </c>
      <c r="B39" s="2">
        <v>-2</v>
      </c>
      <c r="C39" t="s">
        <v>12</v>
      </c>
      <c r="D39" t="s">
        <v>14</v>
      </c>
    </row>
    <row r="40">
      <c r="A40" s="1">
        <v>46043</v>
      </c>
      <c r="B40" s="2">
        <v>-9.15</v>
      </c>
      <c r="C40" t="s">
        <v>15</v>
      </c>
      <c r="D40" t="s">
        <v>16</v>
      </c>
    </row>
    <row r="41">
      <c r="A41" s="1">
        <v>46044</v>
      </c>
      <c r="B41" s="2">
        <v>-2.8</v>
      </c>
      <c r="C41" t="s">
        <v>12</v>
      </c>
      <c r="D41" t="s">
        <v>14</v>
      </c>
    </row>
    <row r="42">
      <c r="A42" s="1">
        <v>46045</v>
      </c>
      <c r="B42" s="2">
        <v>-28.46</v>
      </c>
      <c r="C42" t="s">
        <v>12</v>
      </c>
      <c r="D42" t="s">
        <v>13</v>
      </c>
    </row>
    <row r="43">
      <c r="A43" s="1">
        <v>46046</v>
      </c>
      <c r="B43" s="2">
        <v>-34.79</v>
      </c>
      <c r="C43" t="s">
        <v>10</v>
      </c>
      <c r="D43" t="s">
        <v>26</v>
      </c>
    </row>
    <row r="44">
      <c r="A44" s="1">
        <v>46046</v>
      </c>
      <c r="B44" s="2">
        <v>-23.22</v>
      </c>
      <c r="C44" t="s">
        <v>12</v>
      </c>
      <c r="D44" t="s">
        <v>13</v>
      </c>
    </row>
    <row r="45">
      <c r="A45" s="1">
        <v>46046</v>
      </c>
      <c r="B45" s="2">
        <v>-20.48</v>
      </c>
      <c r="C45" t="s">
        <v>15</v>
      </c>
      <c r="D45" t="s">
        <v>28</v>
      </c>
    </row>
    <row r="46">
      <c r="A46" s="1">
        <v>46046</v>
      </c>
      <c r="B46" s="2">
        <v>-9.4</v>
      </c>
      <c r="C46" t="s">
        <v>15</v>
      </c>
      <c r="D46" t="s">
        <v>16</v>
      </c>
    </row>
    <row r="47">
      <c r="A47" s="1">
        <v>46047</v>
      </c>
      <c r="B47" s="2">
        <v>-9.63</v>
      </c>
      <c r="C47" t="s">
        <v>15</v>
      </c>
      <c r="D47" t="s">
        <v>38</v>
      </c>
    </row>
    <row r="48">
      <c r="A48" s="1">
        <v>46048</v>
      </c>
      <c r="B48" s="2">
        <v>-1.6</v>
      </c>
      <c r="C48" t="s">
        <v>12</v>
      </c>
      <c r="D48" t="s">
        <v>14</v>
      </c>
    </row>
    <row r="49">
      <c r="A49" s="1">
        <v>46048</v>
      </c>
      <c r="B49" s="2">
        <v>-1.5</v>
      </c>
      <c r="C49" t="s">
        <v>12</v>
      </c>
      <c r="D49" t="s">
        <v>14</v>
      </c>
    </row>
    <row r="50">
      <c r="A50" s="1">
        <v>46050</v>
      </c>
      <c r="B50" s="2">
        <v>-1.78</v>
      </c>
      <c r="C50" t="s">
        <v>10</v>
      </c>
      <c r="D50" t="s">
        <v>25</v>
      </c>
    </row>
    <row r="51">
      <c r="A51" s="1">
        <v>46050</v>
      </c>
      <c r="B51" s="2">
        <v>-37.23</v>
      </c>
      <c r="C51" t="s">
        <v>12</v>
      </c>
      <c r="D51" t="s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1" customWidth="1"/>
    <col min="3" max="3" width="18" customWidth="1"/>
    <col min="4" max="4" width="28" customWidth="1"/>
    <col min="6" max="7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>
      <c r="B2" s="2">
        <v>-395</v>
      </c>
      <c r="C2" t="s">
        <v>6</v>
      </c>
      <c r="D2" t="s">
        <v>7</v>
      </c>
      <c r="F2" s="2">
        <f>G2+SUM(B2:B200)</f>
        <v>1857.81</v>
      </c>
      <c r="G2" s="2">
        <f>Janvier2026!F2</f>
        <v>1576.3</v>
      </c>
    </row>
    <row r="3">
      <c r="A3" t="s">
        <v>33</v>
      </c>
      <c r="B3" s="2">
        <v>-10.99</v>
      </c>
      <c r="C3" t="s">
        <v>15</v>
      </c>
      <c r="D3" t="s">
        <v>34</v>
      </c>
    </row>
    <row r="4">
      <c r="A4" s="1">
        <v>46050</v>
      </c>
      <c r="B4" s="2">
        <v>1084.5</v>
      </c>
      <c r="C4" t="s">
        <v>8</v>
      </c>
      <c r="D4" t="s">
        <v>9</v>
      </c>
    </row>
    <row r="5">
      <c r="A5" s="1">
        <v>46054</v>
      </c>
      <c r="B5" s="2">
        <v>-2.3</v>
      </c>
      <c r="C5" t="s">
        <v>12</v>
      </c>
      <c r="D5" t="s">
        <v>14</v>
      </c>
    </row>
    <row r="6">
      <c r="A6" s="1">
        <v>46055</v>
      </c>
      <c r="B6" s="2">
        <v>-5.81</v>
      </c>
      <c r="C6" t="s">
        <v>12</v>
      </c>
      <c r="D6" t="s">
        <v>21</v>
      </c>
    </row>
    <row r="7">
      <c r="A7" s="1">
        <v>46055</v>
      </c>
      <c r="B7" s="2">
        <v>-11.68</v>
      </c>
      <c r="C7" t="s">
        <v>15</v>
      </c>
      <c r="D7" t="s">
        <v>38</v>
      </c>
    </row>
    <row r="8">
      <c r="A8" s="1">
        <v>46055</v>
      </c>
      <c r="B8" s="2">
        <v>-10.93</v>
      </c>
      <c r="C8" t="s">
        <v>15</v>
      </c>
      <c r="D8" t="s">
        <v>16</v>
      </c>
    </row>
    <row r="9">
      <c r="A9" s="1">
        <v>46056</v>
      </c>
      <c r="B9" s="2">
        <v>-27.47</v>
      </c>
      <c r="C9" t="s">
        <v>15</v>
      </c>
      <c r="D9" t="s">
        <v>28</v>
      </c>
    </row>
    <row r="10">
      <c r="A10" s="1">
        <v>46057</v>
      </c>
      <c r="B10" s="2">
        <v>-51.17</v>
      </c>
      <c r="C10" t="s">
        <v>12</v>
      </c>
      <c r="D10" t="s">
        <v>13</v>
      </c>
    </row>
    <row r="11">
      <c r="A11" s="1">
        <v>46057</v>
      </c>
      <c r="B11" s="2">
        <v>-36.1</v>
      </c>
      <c r="C11" t="s">
        <v>10</v>
      </c>
      <c r="D11" t="s">
        <v>26</v>
      </c>
    </row>
    <row r="12">
      <c r="A12" s="1">
        <v>46058</v>
      </c>
      <c r="B12" s="2">
        <v>182</v>
      </c>
      <c r="C12" t="s">
        <v>8</v>
      </c>
      <c r="D12" t="s">
        <v>18</v>
      </c>
    </row>
    <row r="13">
      <c r="A13" s="1">
        <v>46058</v>
      </c>
      <c r="B13" s="2">
        <v>-10.16</v>
      </c>
      <c r="C13" t="s">
        <v>15</v>
      </c>
      <c r="D13" t="s">
        <v>16</v>
      </c>
    </row>
    <row r="14">
      <c r="A14" s="1">
        <v>46058</v>
      </c>
      <c r="B14" s="2">
        <v>-22.5</v>
      </c>
      <c r="C14" t="s">
        <v>12</v>
      </c>
      <c r="D14" t="s">
        <v>13</v>
      </c>
    </row>
    <row r="15">
      <c r="A15" s="1">
        <v>46058</v>
      </c>
      <c r="B15" s="2">
        <v>-4.19</v>
      </c>
      <c r="C15" t="s">
        <v>12</v>
      </c>
      <c r="D15" t="s">
        <v>21</v>
      </c>
    </row>
    <row r="16">
      <c r="A16" s="1">
        <v>46061</v>
      </c>
      <c r="B16" s="2">
        <v>-24.99</v>
      </c>
      <c r="C16" t="s">
        <v>6</v>
      </c>
      <c r="D16" t="s">
        <v>20</v>
      </c>
    </row>
    <row r="17">
      <c r="A17" s="1">
        <v>46061</v>
      </c>
      <c r="B17" s="2">
        <v>-1.5</v>
      </c>
      <c r="C17" t="s">
        <v>12</v>
      </c>
      <c r="D17" t="s">
        <v>31</v>
      </c>
    </row>
    <row r="18">
      <c r="A18" s="1">
        <v>46061</v>
      </c>
      <c r="B18" s="2">
        <v>-2.8</v>
      </c>
      <c r="C18" t="s">
        <v>12</v>
      </c>
      <c r="D18" t="s">
        <v>14</v>
      </c>
    </row>
    <row r="19">
      <c r="A19" s="1">
        <v>46062</v>
      </c>
      <c r="B19" s="2">
        <v>15.5</v>
      </c>
      <c r="C19" t="s">
        <v>8</v>
      </c>
      <c r="D19" t="s">
        <v>40</v>
      </c>
    </row>
    <row r="20">
      <c r="A20" s="1">
        <v>46062</v>
      </c>
      <c r="B20" s="2">
        <v>-10.76</v>
      </c>
      <c r="C20" t="s">
        <v>15</v>
      </c>
      <c r="D20" t="s">
        <v>38</v>
      </c>
    </row>
    <row r="21">
      <c r="A21" s="1">
        <v>46062</v>
      </c>
      <c r="B21" s="2">
        <v>-18.07</v>
      </c>
      <c r="C21" t="s">
        <v>15</v>
      </c>
      <c r="D21" t="s">
        <v>28</v>
      </c>
    </row>
    <row r="22">
      <c r="A22" s="1">
        <v>46062</v>
      </c>
      <c r="B22" s="2">
        <v>-31.87</v>
      </c>
      <c r="C22" t="s">
        <v>12</v>
      </c>
      <c r="D22" t="s">
        <v>13</v>
      </c>
    </row>
    <row r="23">
      <c r="A23" s="1">
        <v>46063</v>
      </c>
      <c r="B23" s="2">
        <v>-1.9</v>
      </c>
      <c r="C23" t="s">
        <v>12</v>
      </c>
      <c r="D23" t="s">
        <v>23</v>
      </c>
    </row>
    <row r="24">
      <c r="A24" s="1">
        <v>46063</v>
      </c>
      <c r="B24" s="2">
        <v>-2.8</v>
      </c>
      <c r="C24" t="s">
        <v>12</v>
      </c>
      <c r="D24" t="s">
        <v>14</v>
      </c>
    </row>
    <row r="25">
      <c r="A25" s="1">
        <v>46064</v>
      </c>
      <c r="B25" s="2">
        <v>-16.73</v>
      </c>
      <c r="C25" t="s">
        <v>12</v>
      </c>
      <c r="D25" t="s">
        <v>13</v>
      </c>
    </row>
    <row r="26">
      <c r="A26" s="1">
        <v>46065</v>
      </c>
      <c r="B26" s="2">
        <v>-37.6</v>
      </c>
      <c r="C26" t="s">
        <v>6</v>
      </c>
      <c r="D26" t="s">
        <v>24</v>
      </c>
    </row>
    <row r="27">
      <c r="A27" s="1">
        <v>46065</v>
      </c>
      <c r="B27" s="2">
        <v>-13.94</v>
      </c>
      <c r="C27" t="s">
        <v>10</v>
      </c>
      <c r="D27" t="s">
        <v>22</v>
      </c>
    </row>
    <row r="28">
      <c r="A28" s="1">
        <v>46066</v>
      </c>
      <c r="B28" s="2">
        <v>-2.8</v>
      </c>
      <c r="C28" t="s">
        <v>12</v>
      </c>
      <c r="D28" t="s">
        <v>14</v>
      </c>
    </row>
    <row r="29">
      <c r="A29" s="1">
        <v>46067</v>
      </c>
      <c r="B29" s="2">
        <f>-12.5-7.3</f>
        <v>-19.8</v>
      </c>
      <c r="C29" t="s">
        <v>12</v>
      </c>
      <c r="D29" t="s">
        <v>13</v>
      </c>
    </row>
    <row r="30">
      <c r="A30" t="s">
        <v>41</v>
      </c>
      <c r="B30" s="2">
        <v>-23.5</v>
      </c>
      <c r="C30" t="s">
        <v>15</v>
      </c>
      <c r="D30" t="s">
        <v>28</v>
      </c>
    </row>
    <row r="31">
      <c r="A31" s="1">
        <v>46067</v>
      </c>
      <c r="B31" s="2">
        <v>-2.72</v>
      </c>
      <c r="C31" t="s">
        <v>12</v>
      </c>
      <c r="D31" t="s">
        <v>21</v>
      </c>
    </row>
    <row r="32">
      <c r="A32" s="1">
        <v>46067</v>
      </c>
      <c r="B32" s="2">
        <v>-1.2</v>
      </c>
      <c r="C32" t="s">
        <v>12</v>
      </c>
      <c r="D32" t="s">
        <v>14</v>
      </c>
    </row>
    <row r="33">
      <c r="A33" s="1">
        <v>46069</v>
      </c>
      <c r="B33" s="2">
        <v>-10.03</v>
      </c>
      <c r="C33" t="s">
        <v>15</v>
      </c>
      <c r="D33" t="s">
        <v>38</v>
      </c>
    </row>
    <row r="34">
      <c r="A34" s="1">
        <v>46070</v>
      </c>
      <c r="B34" s="2">
        <v>-3.85</v>
      </c>
      <c r="C34" t="s">
        <v>12</v>
      </c>
      <c r="D34" t="s">
        <v>21</v>
      </c>
    </row>
    <row r="35">
      <c r="A35" s="1">
        <v>46070</v>
      </c>
      <c r="B35" s="2">
        <v>-47.02</v>
      </c>
      <c r="C35" t="s">
        <v>12</v>
      </c>
      <c r="D35" t="s">
        <v>13</v>
      </c>
    </row>
    <row r="36">
      <c r="A36" s="1">
        <v>46072</v>
      </c>
      <c r="B36" s="2">
        <v>-63.93</v>
      </c>
      <c r="C36" t="s">
        <v>12</v>
      </c>
      <c r="D36" t="s">
        <v>13</v>
      </c>
    </row>
    <row r="37">
      <c r="A37" s="1">
        <v>46072</v>
      </c>
      <c r="B37" s="2">
        <v>-36.73</v>
      </c>
      <c r="C37" t="s">
        <v>12</v>
      </c>
      <c r="D37" t="s">
        <v>13</v>
      </c>
    </row>
    <row r="38">
      <c r="A38" s="1">
        <v>46073</v>
      </c>
      <c r="B38" s="2">
        <v>-1.5</v>
      </c>
      <c r="C38" t="s">
        <v>12</v>
      </c>
      <c r="D38" t="s">
        <v>14</v>
      </c>
    </row>
    <row r="39">
      <c r="A39" s="1">
        <v>46073</v>
      </c>
      <c r="B39" s="2">
        <v>-3.2</v>
      </c>
      <c r="C39" t="s">
        <v>12</v>
      </c>
      <c r="D39" t="s">
        <v>21</v>
      </c>
    </row>
    <row r="40">
      <c r="A40" t="s">
        <v>42</v>
      </c>
      <c r="B40" s="2">
        <v>-1.8</v>
      </c>
      <c r="C40" t="s">
        <v>10</v>
      </c>
      <c r="D40" t="s">
        <v>25</v>
      </c>
    </row>
    <row r="41">
      <c r="A41" s="1">
        <v>46074</v>
      </c>
      <c r="B41" s="2">
        <v>-2.55</v>
      </c>
      <c r="C41" t="s">
        <v>12</v>
      </c>
      <c r="D41" t="s">
        <v>21</v>
      </c>
    </row>
    <row r="42">
      <c r="A42" s="1">
        <v>46078</v>
      </c>
      <c r="B42" s="2">
        <v>-2.3</v>
      </c>
      <c r="C42" t="s">
        <v>12</v>
      </c>
      <c r="D42" t="s">
        <v>23</v>
      </c>
    </row>
    <row r="43">
      <c r="A43" s="1">
        <v>46078</v>
      </c>
      <c r="B43" s="2">
        <v>-12.47</v>
      </c>
      <c r="C43" t="s">
        <v>15</v>
      </c>
      <c r="D43" t="s">
        <v>38</v>
      </c>
    </row>
    <row r="44">
      <c r="A44" s="1">
        <v>46079</v>
      </c>
      <c r="B44" s="2">
        <v>-2.5</v>
      </c>
      <c r="C44" t="s">
        <v>12</v>
      </c>
      <c r="D44" t="s">
        <v>14</v>
      </c>
    </row>
    <row r="45">
      <c r="A45" s="1">
        <v>46080</v>
      </c>
      <c r="B45" s="2">
        <v>-5.34</v>
      </c>
      <c r="C45" t="s">
        <v>12</v>
      </c>
      <c r="D45" t="s">
        <v>21</v>
      </c>
    </row>
    <row r="46">
      <c r="A46" s="1">
        <v>46081</v>
      </c>
      <c r="B46" s="2">
        <v>-5.99</v>
      </c>
      <c r="C46" t="s">
        <v>12</v>
      </c>
      <c r="D46" t="s">
        <v>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1" customWidth="1"/>
    <col min="3" max="3" width="18" customWidth="1"/>
    <col min="4" max="4" width="28" customWidth="1"/>
    <col min="6" max="7" width="15" customWidth="1"/>
  </cols>
  <sheetData>
    <row r="1">
      <c r="A1" t="s">
        <v>0</v>
      </c>
      <c r="B1" t="s">
        <v>1</v>
      </c>
      <c r="C1" t="s">
        <v>43</v>
      </c>
      <c r="D1" t="s">
        <v>44</v>
      </c>
      <c r="F1" t="s">
        <v>4</v>
      </c>
      <c r="G1" t="s">
        <v>5</v>
      </c>
    </row>
    <row r="2">
      <c r="B2" s="2">
        <v>-395</v>
      </c>
      <c r="C2" t="s">
        <v>6</v>
      </c>
      <c r="D2" t="s">
        <v>7</v>
      </c>
      <c r="F2" s="2">
        <f>G2+SUM(B2:B200)</f>
        <v>1769.75</v>
      </c>
      <c r="G2" s="2">
        <f>Fevrier2026!F2</f>
        <v>1857.81</v>
      </c>
    </row>
    <row r="3">
      <c r="A3" s="1">
        <v>46081</v>
      </c>
      <c r="B3" s="2">
        <v>1076.5</v>
      </c>
      <c r="C3" t="s">
        <v>8</v>
      </c>
      <c r="D3" t="s">
        <v>9</v>
      </c>
    </row>
    <row r="4">
      <c r="A4" s="1">
        <v>46082</v>
      </c>
      <c r="B4" s="2">
        <v>-1.75</v>
      </c>
      <c r="C4" t="s">
        <v>10</v>
      </c>
      <c r="D4" t="s">
        <v>37</v>
      </c>
    </row>
    <row r="5">
      <c r="A5" s="1">
        <v>46082</v>
      </c>
      <c r="B5" s="2">
        <v>-1.3</v>
      </c>
      <c r="C5" t="s">
        <v>12</v>
      </c>
      <c r="D5" t="s">
        <v>14</v>
      </c>
    </row>
    <row r="6">
      <c r="A6" s="1">
        <v>46083</v>
      </c>
      <c r="B6" s="2">
        <v>96</v>
      </c>
      <c r="C6" t="s">
        <v>8</v>
      </c>
      <c r="D6" t="s">
        <v>45</v>
      </c>
    </row>
    <row r="7">
      <c r="A7" s="1">
        <v>46083</v>
      </c>
      <c r="B7" s="2">
        <v>-18.94</v>
      </c>
      <c r="C7" t="s">
        <v>10</v>
      </c>
      <c r="D7" t="s">
        <v>22</v>
      </c>
    </row>
    <row r="8">
      <c r="A8" s="1">
        <v>46083</v>
      </c>
      <c r="B8" s="2">
        <v>-6.04</v>
      </c>
      <c r="C8" t="s">
        <v>12</v>
      </c>
      <c r="D8" t="s">
        <v>21</v>
      </c>
    </row>
    <row r="9">
      <c r="A9" s="1">
        <v>46083</v>
      </c>
      <c r="B9" s="2">
        <v>-2.85</v>
      </c>
      <c r="C9" t="s">
        <v>12</v>
      </c>
      <c r="D9" t="s">
        <v>21</v>
      </c>
    </row>
    <row r="10">
      <c r="A10" s="1">
        <v>46084</v>
      </c>
      <c r="B10" s="2">
        <v>-1.7</v>
      </c>
      <c r="C10" t="s">
        <v>12</v>
      </c>
      <c r="D10" t="s">
        <v>31</v>
      </c>
    </row>
    <row r="11">
      <c r="A11" s="1">
        <v>46084</v>
      </c>
      <c r="B11" s="2">
        <v>-12.52</v>
      </c>
      <c r="C11" t="s">
        <v>12</v>
      </c>
      <c r="D11" t="s">
        <v>13</v>
      </c>
    </row>
    <row r="12">
      <c r="A12" s="1">
        <v>46086</v>
      </c>
      <c r="B12" s="2">
        <v>182</v>
      </c>
      <c r="C12" t="s">
        <v>8</v>
      </c>
      <c r="D12" t="s">
        <v>18</v>
      </c>
    </row>
    <row r="13">
      <c r="A13" s="1">
        <v>46086</v>
      </c>
      <c r="B13" s="2">
        <v>-33.41</v>
      </c>
      <c r="C13" t="s">
        <v>12</v>
      </c>
      <c r="D13" t="s">
        <v>13</v>
      </c>
    </row>
    <row r="14">
      <c r="A14" s="1">
        <v>46086</v>
      </c>
      <c r="B14" s="2">
        <v>-61.66</v>
      </c>
      <c r="C14" t="s">
        <v>12</v>
      </c>
      <c r="D14" t="s">
        <v>13</v>
      </c>
    </row>
    <row r="15">
      <c r="A15" s="1">
        <v>46086</v>
      </c>
      <c r="B15" s="2">
        <v>-5.22</v>
      </c>
      <c r="C15" t="s">
        <v>12</v>
      </c>
      <c r="D15" t="s">
        <v>21</v>
      </c>
    </row>
    <row r="16">
      <c r="A16" s="1">
        <v>46086</v>
      </c>
      <c r="B16" s="2">
        <v>-31.2</v>
      </c>
      <c r="C16" t="s">
        <v>15</v>
      </c>
      <c r="D16" t="s">
        <v>28</v>
      </c>
    </row>
    <row r="17">
      <c r="A17" s="1">
        <v>46087</v>
      </c>
      <c r="B17" s="2">
        <v>-34.96</v>
      </c>
      <c r="C17" t="s">
        <v>10</v>
      </c>
      <c r="D17" t="s">
        <v>26</v>
      </c>
    </row>
    <row r="18">
      <c r="A18" s="1">
        <v>46087</v>
      </c>
      <c r="B18" s="2">
        <v>-2.14</v>
      </c>
      <c r="C18" t="s">
        <v>10</v>
      </c>
      <c r="D18" t="s">
        <v>11</v>
      </c>
    </row>
    <row r="19">
      <c r="A19" s="1">
        <v>46087</v>
      </c>
      <c r="B19" s="2">
        <v>-42.17</v>
      </c>
      <c r="C19" t="s">
        <v>10</v>
      </c>
      <c r="D19" t="s">
        <v>26</v>
      </c>
    </row>
    <row r="20">
      <c r="A20" s="1">
        <v>46087</v>
      </c>
      <c r="B20" s="2">
        <v>-27.56</v>
      </c>
      <c r="C20" t="s">
        <v>12</v>
      </c>
      <c r="D20" t="s">
        <v>13</v>
      </c>
    </row>
    <row r="21">
      <c r="A21" s="1">
        <v>46087</v>
      </c>
      <c r="B21" s="2">
        <v>-1.8</v>
      </c>
      <c r="C21" t="s">
        <v>12</v>
      </c>
      <c r="D21" t="s">
        <v>23</v>
      </c>
    </row>
    <row r="22">
      <c r="A22" s="1">
        <v>46087</v>
      </c>
      <c r="B22" s="2">
        <v>-2</v>
      </c>
      <c r="C22" t="s">
        <v>12</v>
      </c>
      <c r="D22" t="s">
        <v>14</v>
      </c>
    </row>
    <row r="23">
      <c r="A23" s="1">
        <v>46087</v>
      </c>
      <c r="B23" s="2">
        <v>-14.8</v>
      </c>
      <c r="C23" t="s">
        <v>15</v>
      </c>
      <c r="D23" t="s">
        <v>17</v>
      </c>
    </row>
    <row r="24">
      <c r="A24" s="1">
        <v>46088</v>
      </c>
      <c r="B24" s="2">
        <v>-5.11</v>
      </c>
      <c r="C24" t="s">
        <v>12</v>
      </c>
      <c r="D24" t="s">
        <v>21</v>
      </c>
    </row>
    <row r="25">
      <c r="A25" s="1">
        <v>46088</v>
      </c>
      <c r="B25" s="2">
        <v>-1.3</v>
      </c>
      <c r="C25" t="s">
        <v>12</v>
      </c>
      <c r="D25" t="s">
        <v>46</v>
      </c>
    </row>
    <row r="26">
      <c r="A26" s="1">
        <v>46089</v>
      </c>
      <c r="B26" s="2">
        <v>-24.99</v>
      </c>
      <c r="C26" t="s">
        <v>6</v>
      </c>
      <c r="D26" t="s">
        <v>20</v>
      </c>
    </row>
    <row r="27">
      <c r="A27" s="1">
        <v>46089</v>
      </c>
      <c r="B27" s="2">
        <v>-1.75</v>
      </c>
      <c r="C27" t="s">
        <v>10</v>
      </c>
      <c r="D27" t="s">
        <v>25</v>
      </c>
    </row>
    <row r="28">
      <c r="A28" s="1">
        <v>46089</v>
      </c>
      <c r="B28" s="2">
        <v>-5.66</v>
      </c>
      <c r="C28" t="s">
        <v>12</v>
      </c>
      <c r="D28" t="s">
        <v>21</v>
      </c>
    </row>
    <row r="29">
      <c r="A29" s="1">
        <v>46089</v>
      </c>
      <c r="B29" s="2">
        <v>-5.91</v>
      </c>
      <c r="C29" t="s">
        <v>12</v>
      </c>
      <c r="D29" t="s">
        <v>21</v>
      </c>
    </row>
    <row r="30">
      <c r="A30" s="1">
        <v>46090</v>
      </c>
      <c r="B30" s="2">
        <v>-2.5</v>
      </c>
      <c r="C30" t="s">
        <v>12</v>
      </c>
      <c r="D30" t="s">
        <v>14</v>
      </c>
    </row>
    <row r="31">
      <c r="A31" s="1">
        <v>46090</v>
      </c>
      <c r="B31" s="2">
        <v>-1.74</v>
      </c>
      <c r="C31" t="s">
        <v>12</v>
      </c>
      <c r="D31" t="s">
        <v>21</v>
      </c>
    </row>
    <row r="32">
      <c r="A32" s="1">
        <v>46090</v>
      </c>
      <c r="B32" s="2">
        <v>-19.96</v>
      </c>
      <c r="C32" t="s">
        <v>12</v>
      </c>
      <c r="D32" t="s">
        <v>13</v>
      </c>
    </row>
    <row r="33">
      <c r="A33" s="1">
        <v>46091</v>
      </c>
      <c r="B33" s="2">
        <v>-1.9</v>
      </c>
      <c r="C33" t="s">
        <v>12</v>
      </c>
      <c r="D33" t="s">
        <v>14</v>
      </c>
    </row>
    <row r="34">
      <c r="A34" s="1">
        <v>46091</v>
      </c>
      <c r="B34" s="2">
        <v>-2.5</v>
      </c>
      <c r="C34" t="s">
        <v>12</v>
      </c>
      <c r="D34" t="s">
        <v>14</v>
      </c>
    </row>
    <row r="35">
      <c r="A35" s="1">
        <v>46091</v>
      </c>
      <c r="B35" s="2">
        <v>-22.72</v>
      </c>
      <c r="C35" t="s">
        <v>10</v>
      </c>
      <c r="D35" t="s">
        <v>22</v>
      </c>
    </row>
    <row r="36">
      <c r="A36" s="1">
        <v>46091</v>
      </c>
      <c r="B36" s="2">
        <v>-52.06</v>
      </c>
      <c r="C36" t="s">
        <v>12</v>
      </c>
      <c r="D36" t="s">
        <v>13</v>
      </c>
    </row>
    <row r="37">
      <c r="A37" s="1">
        <v>46092</v>
      </c>
      <c r="B37" s="2">
        <v>-27.08</v>
      </c>
      <c r="C37" t="s">
        <v>15</v>
      </c>
      <c r="D37" t="s">
        <v>28</v>
      </c>
    </row>
    <row r="38">
      <c r="A38" s="1">
        <v>46092</v>
      </c>
      <c r="B38" s="2">
        <v>-31.05</v>
      </c>
      <c r="C38" t="s">
        <v>12</v>
      </c>
      <c r="D38" t="s">
        <v>13</v>
      </c>
    </row>
    <row r="39">
      <c r="A39" s="1">
        <v>46093</v>
      </c>
      <c r="B39" s="2">
        <v>-45.71</v>
      </c>
      <c r="C39" t="s">
        <v>6</v>
      </c>
      <c r="D39" t="s">
        <v>24</v>
      </c>
    </row>
    <row r="40">
      <c r="A40" s="1">
        <v>46093</v>
      </c>
      <c r="B40" s="2">
        <v>-1.2</v>
      </c>
      <c r="C40" t="s">
        <v>12</v>
      </c>
      <c r="D40" t="s">
        <v>31</v>
      </c>
    </row>
    <row r="41">
      <c r="A41" s="1">
        <v>46093</v>
      </c>
      <c r="B41" s="2">
        <v>-25.1</v>
      </c>
      <c r="C41" t="s">
        <v>10</v>
      </c>
      <c r="D41" t="s">
        <v>26</v>
      </c>
    </row>
    <row r="42">
      <c r="A42" s="1">
        <v>46094</v>
      </c>
      <c r="B42" s="2">
        <v>-26.18</v>
      </c>
      <c r="C42" t="s">
        <v>10</v>
      </c>
      <c r="D42" t="s">
        <v>22</v>
      </c>
    </row>
    <row r="43">
      <c r="A43" s="1">
        <v>46094</v>
      </c>
      <c r="B43" s="2">
        <v>-44.25</v>
      </c>
      <c r="C43" t="s">
        <v>12</v>
      </c>
      <c r="D43" t="s">
        <v>13</v>
      </c>
    </row>
    <row r="44">
      <c r="A44" s="1">
        <v>46094</v>
      </c>
      <c r="B44" s="2">
        <v>-10.06</v>
      </c>
      <c r="C44" t="s">
        <v>15</v>
      </c>
      <c r="D44" t="s">
        <v>38</v>
      </c>
    </row>
    <row r="45">
      <c r="A45" s="1">
        <v>46095</v>
      </c>
      <c r="B45" s="2">
        <v>-57.94</v>
      </c>
      <c r="C45" t="s">
        <v>12</v>
      </c>
      <c r="D45" t="s">
        <v>13</v>
      </c>
    </row>
    <row r="46">
      <c r="A46" s="1">
        <v>46096</v>
      </c>
      <c r="B46" s="2">
        <v>-4.46</v>
      </c>
      <c r="C46" t="s">
        <v>10</v>
      </c>
      <c r="D46" t="s">
        <v>11</v>
      </c>
    </row>
    <row r="47">
      <c r="A47" s="1">
        <v>46096</v>
      </c>
      <c r="B47" s="2">
        <v>-36.99</v>
      </c>
      <c r="C47" t="s">
        <v>12</v>
      </c>
      <c r="D47" t="s">
        <v>13</v>
      </c>
    </row>
    <row r="48">
      <c r="A48" s="1">
        <v>46097</v>
      </c>
      <c r="B48" s="2">
        <v>-1.4</v>
      </c>
      <c r="C48" t="s">
        <v>12</v>
      </c>
      <c r="D48" t="s">
        <v>23</v>
      </c>
    </row>
    <row r="49">
      <c r="A49" s="1">
        <v>46098</v>
      </c>
      <c r="B49" s="2">
        <v>-19.78</v>
      </c>
      <c r="C49" t="s">
        <v>12</v>
      </c>
      <c r="D49" t="s">
        <v>29</v>
      </c>
    </row>
    <row r="50">
      <c r="A50" s="1">
        <v>46098</v>
      </c>
      <c r="B50" s="2">
        <v>-1.71</v>
      </c>
      <c r="C50" t="s">
        <v>10</v>
      </c>
      <c r="D50" t="s">
        <v>25</v>
      </c>
    </row>
    <row r="51">
      <c r="A51" s="1">
        <v>46098</v>
      </c>
      <c r="B51" s="2">
        <v>-3.06</v>
      </c>
      <c r="C51" t="s">
        <v>12</v>
      </c>
      <c r="D51" t="s">
        <v>21</v>
      </c>
    </row>
    <row r="52">
      <c r="A52" s="1">
        <v>46099</v>
      </c>
      <c r="B52" t="s">
        <v>47</v>
      </c>
      <c r="C52" t="s">
        <v>12</v>
      </c>
      <c r="D52" t="s">
        <v>14</v>
      </c>
    </row>
    <row r="53">
      <c r="A53" s="1">
        <v>46099</v>
      </c>
      <c r="B53" s="2">
        <v>-1.1</v>
      </c>
      <c r="C53" t="s">
        <v>12</v>
      </c>
      <c r="D53" t="s">
        <v>14</v>
      </c>
    </row>
    <row r="54">
      <c r="A54" s="1">
        <v>46099</v>
      </c>
      <c r="B54" s="2">
        <v>-31.64</v>
      </c>
      <c r="C54" t="s">
        <v>10</v>
      </c>
      <c r="D54" t="s">
        <v>26</v>
      </c>
    </row>
    <row r="55">
      <c r="A55" s="1">
        <v>46099</v>
      </c>
      <c r="B55" s="2">
        <v>-30.8</v>
      </c>
      <c r="C55" t="s">
        <v>10</v>
      </c>
      <c r="D55" t="s">
        <v>26</v>
      </c>
    </row>
    <row r="56">
      <c r="A56" s="1">
        <v>46100</v>
      </c>
      <c r="B56" s="2">
        <v>-2.2</v>
      </c>
      <c r="C56" t="s">
        <v>12</v>
      </c>
      <c r="D56" t="s">
        <v>14</v>
      </c>
    </row>
    <row r="57">
      <c r="A57" s="1">
        <v>46100</v>
      </c>
      <c r="B57" s="2">
        <v>-2.7</v>
      </c>
      <c r="C57" t="s">
        <v>12</v>
      </c>
      <c r="D57" t="s">
        <v>14</v>
      </c>
    </row>
    <row r="58">
      <c r="A58" s="1">
        <v>46100</v>
      </c>
      <c r="B58" s="2">
        <v>-2.23</v>
      </c>
      <c r="C58" t="s">
        <v>12</v>
      </c>
      <c r="D58" t="s">
        <v>21</v>
      </c>
    </row>
    <row r="59">
      <c r="A59" s="1">
        <v>46101</v>
      </c>
      <c r="B59" s="2">
        <v>18</v>
      </c>
      <c r="C59" t="s">
        <v>10</v>
      </c>
      <c r="D59" t="s">
        <v>48</v>
      </c>
    </row>
    <row r="60">
      <c r="A60" s="1">
        <v>46101</v>
      </c>
      <c r="B60" s="2">
        <v>-1.4</v>
      </c>
      <c r="C60" t="s">
        <v>12</v>
      </c>
      <c r="D60" t="s">
        <v>14</v>
      </c>
    </row>
    <row r="61">
      <c r="A61" s="1">
        <v>46101</v>
      </c>
      <c r="B61" s="2">
        <v>-2.5</v>
      </c>
      <c r="C61" t="s">
        <v>12</v>
      </c>
      <c r="D61" t="s">
        <v>14</v>
      </c>
    </row>
    <row r="62">
      <c r="A62" s="1">
        <v>46103</v>
      </c>
      <c r="B62" s="2">
        <v>-9.38</v>
      </c>
      <c r="C62" t="s">
        <v>15</v>
      </c>
      <c r="D62" t="s">
        <v>16</v>
      </c>
    </row>
    <row r="63">
      <c r="A63" s="1">
        <v>46104</v>
      </c>
      <c r="B63" s="2">
        <v>-6.26</v>
      </c>
      <c r="C63" t="s">
        <v>10</v>
      </c>
      <c r="D63" t="s">
        <v>11</v>
      </c>
    </row>
    <row r="64">
      <c r="A64" s="1">
        <v>46104</v>
      </c>
      <c r="B64" s="2">
        <v>-11.92</v>
      </c>
      <c r="C64" t="s">
        <v>15</v>
      </c>
      <c r="D64" t="s">
        <v>17</v>
      </c>
    </row>
    <row r="65">
      <c r="A65" s="1">
        <v>46104</v>
      </c>
      <c r="B65" s="2">
        <v>-1.7</v>
      </c>
      <c r="C65" t="s">
        <v>10</v>
      </c>
      <c r="D65" t="s">
        <v>25</v>
      </c>
    </row>
    <row r="66">
      <c r="A66" s="1">
        <v>46105</v>
      </c>
      <c r="B66" s="2">
        <v>-10.5</v>
      </c>
      <c r="C66" t="s">
        <v>15</v>
      </c>
      <c r="D66" t="s">
        <v>16</v>
      </c>
    </row>
    <row r="67">
      <c r="A67" s="1">
        <v>46105</v>
      </c>
      <c r="B67" s="2">
        <v>-3.6</v>
      </c>
      <c r="C67" t="s">
        <v>12</v>
      </c>
      <c r="D67" t="s">
        <v>21</v>
      </c>
    </row>
    <row r="68">
      <c r="A68" s="1">
        <v>46106</v>
      </c>
      <c r="B68" s="2">
        <v>18.2</v>
      </c>
      <c r="C68" t="s">
        <v>8</v>
      </c>
      <c r="D68" t="s">
        <v>39</v>
      </c>
    </row>
    <row r="69">
      <c r="A69" s="1">
        <v>46106</v>
      </c>
      <c r="B69" s="2">
        <v>-59.92</v>
      </c>
      <c r="C69" t="s">
        <v>12</v>
      </c>
      <c r="D69" t="s">
        <v>13</v>
      </c>
    </row>
    <row r="70">
      <c r="A70" s="1">
        <v>46106</v>
      </c>
      <c r="B70" s="2">
        <v>-3.92</v>
      </c>
      <c r="C70" t="s">
        <v>12</v>
      </c>
      <c r="D70" t="s">
        <v>21</v>
      </c>
    </row>
    <row r="71">
      <c r="A71" s="1">
        <v>46107</v>
      </c>
      <c r="B71" s="2">
        <v>-49.52</v>
      </c>
      <c r="C71" t="s">
        <v>10</v>
      </c>
      <c r="D71" t="s">
        <v>26</v>
      </c>
    </row>
    <row r="72">
      <c r="A72" s="1">
        <v>46107</v>
      </c>
      <c r="B72" s="2">
        <v>-1.55</v>
      </c>
      <c r="C72" t="s">
        <v>12</v>
      </c>
      <c r="D72" t="s">
        <v>21</v>
      </c>
    </row>
    <row r="73">
      <c r="A73" s="1">
        <v>46108</v>
      </c>
      <c r="B73" s="2">
        <v>-4.99</v>
      </c>
      <c r="C73" t="s">
        <v>10</v>
      </c>
      <c r="D73" t="s">
        <v>11</v>
      </c>
    </row>
    <row r="74">
      <c r="A74" s="1">
        <v>46108</v>
      </c>
      <c r="B74" s="2">
        <v>-2.2</v>
      </c>
      <c r="C74" t="s">
        <v>12</v>
      </c>
      <c r="D74" t="s">
        <v>31</v>
      </c>
    </row>
    <row r="75">
      <c r="A75" s="1">
        <v>46109</v>
      </c>
      <c r="B75" s="2">
        <v>-1.9</v>
      </c>
      <c r="C75" t="s">
        <v>12</v>
      </c>
      <c r="D75" t="s">
        <v>14</v>
      </c>
    </row>
    <row r="76">
      <c r="A76" s="1">
        <v>46109</v>
      </c>
      <c r="B76" s="2">
        <v>-42.14</v>
      </c>
      <c r="C76" t="s">
        <v>10</v>
      </c>
      <c r="D76" t="s">
        <v>26</v>
      </c>
    </row>
    <row r="77">
      <c r="A77" s="1">
        <v>46109</v>
      </c>
      <c r="B77" s="2">
        <v>-2.1</v>
      </c>
      <c r="C77" t="s">
        <v>12</v>
      </c>
      <c r="D77" t="s">
        <v>14</v>
      </c>
    </row>
    <row r="78">
      <c r="A78" s="1">
        <v>46109</v>
      </c>
      <c r="B78" s="2">
        <v>-2</v>
      </c>
      <c r="C78" t="s">
        <v>12</v>
      </c>
      <c r="D78" t="s">
        <v>31</v>
      </c>
    </row>
    <row r="79">
      <c r="A79" s="1">
        <v>46109</v>
      </c>
      <c r="B79" s="2">
        <v>-7.1</v>
      </c>
      <c r="C79" t="s">
        <v>10</v>
      </c>
      <c r="D79" t="s">
        <v>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1" customWidth="1"/>
    <col min="3" max="3" width="18" customWidth="1"/>
    <col min="4" max="4" width="28" customWidth="1"/>
    <col min="6" max="7" width="15" customWidth="1"/>
  </cols>
  <sheetData>
    <row r="1">
      <c r="A1" t="s">
        <v>0</v>
      </c>
      <c r="B1" t="s">
        <v>1</v>
      </c>
      <c r="C1" t="s">
        <v>43</v>
      </c>
      <c r="D1" t="s">
        <v>44</v>
      </c>
      <c r="F1" t="s">
        <v>4</v>
      </c>
      <c r="G1" t="s">
        <v>5</v>
      </c>
    </row>
    <row r="2">
      <c r="B2" s="2">
        <v>-395</v>
      </c>
      <c r="C2" t="s">
        <v>6</v>
      </c>
      <c r="D2" t="s">
        <v>7</v>
      </c>
      <c r="F2" s="2">
        <f>G2+SUM(B2:B200)</f>
        <v>1861.04</v>
      </c>
      <c r="G2" s="2">
        <f>Mars2026!F2</f>
        <v>1769.75</v>
      </c>
    </row>
    <row r="3">
      <c r="A3" s="1">
        <v>46107</v>
      </c>
      <c r="B3" s="2">
        <v>1043.5</v>
      </c>
      <c r="C3" t="s">
        <v>8</v>
      </c>
      <c r="D3" t="s">
        <v>9</v>
      </c>
    </row>
    <row r="4">
      <c r="A4" s="1">
        <v>46113</v>
      </c>
      <c r="B4" s="2">
        <v>-44.46</v>
      </c>
      <c r="C4" t="s">
        <v>12</v>
      </c>
      <c r="D4" t="s">
        <v>13</v>
      </c>
    </row>
    <row r="5">
      <c r="A5" s="1">
        <v>46114</v>
      </c>
      <c r="B5" s="2">
        <v>-31.13</v>
      </c>
      <c r="C5" t="s">
        <v>12</v>
      </c>
      <c r="D5" t="s">
        <v>13</v>
      </c>
    </row>
    <row r="6">
      <c r="A6" s="1">
        <v>46115</v>
      </c>
      <c r="B6" s="2">
        <v>-32.37</v>
      </c>
      <c r="C6" t="s">
        <v>10</v>
      </c>
      <c r="D6" t="s">
        <v>26</v>
      </c>
    </row>
    <row r="7">
      <c r="A7" s="1">
        <v>46116</v>
      </c>
      <c r="B7" s="2">
        <v>-21.81</v>
      </c>
      <c r="C7" t="s">
        <v>15</v>
      </c>
      <c r="D7" t="s">
        <v>28</v>
      </c>
    </row>
    <row r="8">
      <c r="A8" s="1">
        <v>46116</v>
      </c>
      <c r="B8" s="2">
        <v>-1.6</v>
      </c>
      <c r="C8" t="s">
        <v>12</v>
      </c>
      <c r="D8" t="s">
        <v>14</v>
      </c>
    </row>
    <row r="9">
      <c r="A9" s="1">
        <v>46116</v>
      </c>
      <c r="B9" s="2">
        <v>-2.3</v>
      </c>
      <c r="C9" t="s">
        <v>12</v>
      </c>
      <c r="D9" t="s">
        <v>14</v>
      </c>
    </row>
    <row r="10">
      <c r="A10" s="1">
        <v>46117</v>
      </c>
      <c r="B10" s="2">
        <v>182</v>
      </c>
      <c r="C10" t="s">
        <v>8</v>
      </c>
      <c r="D10" t="s">
        <v>18</v>
      </c>
    </row>
    <row r="11">
      <c r="A11" s="1">
        <v>46117</v>
      </c>
      <c r="B11" s="2">
        <v>-2.57</v>
      </c>
      <c r="C11" t="s">
        <v>12</v>
      </c>
      <c r="D11" t="s">
        <v>21</v>
      </c>
    </row>
    <row r="12">
      <c r="A12" s="1">
        <v>46119</v>
      </c>
      <c r="B12" s="2">
        <v>-9.03</v>
      </c>
      <c r="C12" t="s">
        <v>15</v>
      </c>
      <c r="D12" t="s">
        <v>17</v>
      </c>
    </row>
    <row r="13">
      <c r="A13" s="1">
        <v>46120</v>
      </c>
      <c r="B13" s="2">
        <v>-24.99</v>
      </c>
      <c r="C13" t="s">
        <v>6</v>
      </c>
      <c r="D13" t="s">
        <v>20</v>
      </c>
    </row>
    <row r="14">
      <c r="A14" s="1">
        <v>46120</v>
      </c>
      <c r="B14" s="2">
        <v>-9.84</v>
      </c>
      <c r="C14" t="s">
        <v>15</v>
      </c>
      <c r="D14" t="s">
        <v>38</v>
      </c>
    </row>
    <row r="15">
      <c r="A15" s="1">
        <v>46122</v>
      </c>
      <c r="B15" s="2">
        <v>22</v>
      </c>
      <c r="C15" t="s">
        <v>8</v>
      </c>
      <c r="D15" t="s">
        <v>40</v>
      </c>
    </row>
    <row r="16">
      <c r="A16" s="1">
        <v>46123</v>
      </c>
      <c r="B16" s="2">
        <v>-14.27</v>
      </c>
      <c r="C16" t="s">
        <v>12</v>
      </c>
      <c r="D16" t="s">
        <v>13</v>
      </c>
    </row>
    <row r="17">
      <c r="A17" s="1">
        <v>46123</v>
      </c>
      <c r="B17" s="2">
        <v>-6.26</v>
      </c>
      <c r="C17" t="s">
        <v>12</v>
      </c>
      <c r="D17" t="s">
        <v>21</v>
      </c>
    </row>
    <row r="18">
      <c r="A18" s="1">
        <v>46124</v>
      </c>
      <c r="B18" s="2">
        <v>-41.43</v>
      </c>
      <c r="C18" t="s">
        <v>6</v>
      </c>
      <c r="D18" t="s">
        <v>24</v>
      </c>
    </row>
    <row r="19">
      <c r="A19" s="1">
        <v>46124</v>
      </c>
      <c r="B19" s="2">
        <v>-50.84</v>
      </c>
      <c r="C19" t="s">
        <v>12</v>
      </c>
      <c r="D19" t="s">
        <v>13</v>
      </c>
    </row>
    <row r="20">
      <c r="A20" s="1">
        <v>46124</v>
      </c>
      <c r="B20" s="2">
        <v>-6.65</v>
      </c>
      <c r="C20" t="s">
        <v>10</v>
      </c>
      <c r="D20" t="s">
        <v>11</v>
      </c>
    </row>
    <row r="21">
      <c r="A21" s="1">
        <v>46124</v>
      </c>
      <c r="B21" s="2">
        <v>-52.34</v>
      </c>
      <c r="C21" t="s">
        <v>10</v>
      </c>
      <c r="D21" t="s">
        <v>26</v>
      </c>
    </row>
    <row r="22">
      <c r="A22" s="1">
        <v>46125</v>
      </c>
      <c r="B22" s="2">
        <v>-6.17</v>
      </c>
      <c r="C22" t="s">
        <v>12</v>
      </c>
      <c r="D22" t="s">
        <v>21</v>
      </c>
    </row>
    <row r="23">
      <c r="A23" s="1">
        <v>46125</v>
      </c>
      <c r="B23" s="2">
        <v>-2.93</v>
      </c>
      <c r="C23" t="s">
        <v>12</v>
      </c>
      <c r="D23" t="s">
        <v>21</v>
      </c>
    </row>
    <row r="24">
      <c r="A24" s="1">
        <v>46125</v>
      </c>
      <c r="B24" s="2">
        <v>-10.61</v>
      </c>
      <c r="C24" t="s">
        <v>15</v>
      </c>
      <c r="D24" t="s">
        <v>16</v>
      </c>
    </row>
    <row r="25">
      <c r="A25" s="1">
        <v>46126</v>
      </c>
      <c r="B25" s="2">
        <v>-56.42</v>
      </c>
      <c r="C25" t="s">
        <v>12</v>
      </c>
      <c r="D25" t="s">
        <v>13</v>
      </c>
    </row>
    <row r="26">
      <c r="A26" s="1">
        <v>46126</v>
      </c>
      <c r="B26" s="2">
        <v>-18.36</v>
      </c>
      <c r="C26" t="s">
        <v>15</v>
      </c>
      <c r="D26" t="s">
        <v>28</v>
      </c>
    </row>
    <row r="27">
      <c r="A27" s="1">
        <v>46126</v>
      </c>
      <c r="B27" s="2">
        <v>-61.86</v>
      </c>
      <c r="C27" t="s">
        <v>12</v>
      </c>
      <c r="D27" t="s">
        <v>13</v>
      </c>
    </row>
    <row r="28">
      <c r="A28" s="1">
        <v>46126</v>
      </c>
      <c r="B28" s="2">
        <v>-60.36</v>
      </c>
      <c r="C28" t="s">
        <v>12</v>
      </c>
      <c r="D28" t="s">
        <v>13</v>
      </c>
    </row>
    <row r="29">
      <c r="A29" s="1">
        <v>46126</v>
      </c>
      <c r="B29" s="2">
        <v>-2.58</v>
      </c>
      <c r="C29" t="s">
        <v>12</v>
      </c>
      <c r="D29" t="s">
        <v>21</v>
      </c>
    </row>
    <row r="30">
      <c r="A30" s="1">
        <v>46127</v>
      </c>
      <c r="B30" s="2">
        <v>-4.51</v>
      </c>
      <c r="C30" t="s">
        <v>12</v>
      </c>
      <c r="D30" t="s">
        <v>21</v>
      </c>
    </row>
    <row r="31">
      <c r="A31" s="1">
        <v>46127</v>
      </c>
      <c r="B31" s="2">
        <v>-1.4</v>
      </c>
      <c r="C31" t="s">
        <v>12</v>
      </c>
      <c r="D31" t="s">
        <v>14</v>
      </c>
    </row>
    <row r="32">
      <c r="A32" s="1">
        <v>46127</v>
      </c>
      <c r="B32" s="2">
        <v>-2.8</v>
      </c>
      <c r="C32" t="s">
        <v>12</v>
      </c>
      <c r="D32" t="s">
        <v>14</v>
      </c>
    </row>
    <row r="33">
      <c r="A33" s="1">
        <v>46129</v>
      </c>
      <c r="B33" s="2">
        <v>-2.4</v>
      </c>
      <c r="C33" t="s">
        <v>12</v>
      </c>
      <c r="D33" t="s">
        <v>23</v>
      </c>
    </row>
    <row r="34">
      <c r="A34" s="1">
        <v>46130</v>
      </c>
      <c r="B34" s="2">
        <v>-37.08</v>
      </c>
      <c r="C34" t="s">
        <v>10</v>
      </c>
      <c r="D34" t="s">
        <v>26</v>
      </c>
    </row>
    <row r="35">
      <c r="A35" s="1">
        <v>46130</v>
      </c>
      <c r="B35" s="2">
        <v>-39.72</v>
      </c>
      <c r="C35" t="s">
        <v>12</v>
      </c>
      <c r="D35" t="s">
        <v>13</v>
      </c>
    </row>
    <row r="36">
      <c r="A36" s="1">
        <v>46131</v>
      </c>
      <c r="B36" s="2">
        <v>60</v>
      </c>
      <c r="C36" t="s">
        <v>8</v>
      </c>
      <c r="D36" t="s">
        <v>27</v>
      </c>
    </row>
    <row r="37">
      <c r="A37" s="1">
        <v>46131</v>
      </c>
      <c r="B37" s="2">
        <v>-2.2</v>
      </c>
      <c r="C37" t="s">
        <v>12</v>
      </c>
      <c r="D37" t="s">
        <v>14</v>
      </c>
    </row>
    <row r="38">
      <c r="A38" s="1">
        <v>46131</v>
      </c>
      <c r="B38" s="2">
        <v>-48.93</v>
      </c>
      <c r="C38" t="s">
        <v>10</v>
      </c>
      <c r="D38" t="s">
        <v>26</v>
      </c>
    </row>
    <row r="39">
      <c r="A39" s="1">
        <v>46131</v>
      </c>
      <c r="B39" s="2">
        <v>-13.86</v>
      </c>
      <c r="C39" t="s">
        <v>12</v>
      </c>
      <c r="D39" t="s">
        <v>13</v>
      </c>
    </row>
    <row r="40">
      <c r="A40" s="1">
        <v>46132</v>
      </c>
      <c r="B40" s="2">
        <v>-1.74</v>
      </c>
      <c r="C40" t="s">
        <v>10</v>
      </c>
      <c r="D40" t="s">
        <v>25</v>
      </c>
    </row>
    <row r="41">
      <c r="A41" s="1">
        <v>46134</v>
      </c>
      <c r="B41" s="2">
        <v>-2.68</v>
      </c>
      <c r="C41" t="s">
        <v>12</v>
      </c>
      <c r="D41" t="s">
        <v>21</v>
      </c>
    </row>
    <row r="42">
      <c r="A42" s="1">
        <v>46138</v>
      </c>
      <c r="B42" s="2">
        <v>-29.11</v>
      </c>
      <c r="C42" t="s">
        <v>12</v>
      </c>
      <c r="D42" t="s">
        <v>13</v>
      </c>
    </row>
    <row r="43">
      <c r="A43" s="1">
        <v>46138</v>
      </c>
      <c r="C43" t="s">
        <v>15</v>
      </c>
      <c r="D43" t="s">
        <v>16</v>
      </c>
    </row>
    <row r="44">
      <c r="A44" s="1">
        <v>46138</v>
      </c>
      <c r="B44" s="2">
        <v>-52.7</v>
      </c>
      <c r="C44" t="s">
        <v>10</v>
      </c>
      <c r="D44" t="s">
        <v>26</v>
      </c>
    </row>
    <row r="45">
      <c r="A45" s="1">
        <v>46138</v>
      </c>
      <c r="B45" s="2">
        <v>-9.1</v>
      </c>
      <c r="C45" t="s">
        <v>15</v>
      </c>
      <c r="D45" t="s">
        <v>38</v>
      </c>
    </row>
    <row r="46">
      <c r="A46" s="1">
        <v>46140</v>
      </c>
      <c r="B46" s="2">
        <v>-1.8</v>
      </c>
      <c r="C46" t="s">
        <v>12</v>
      </c>
      <c r="D46" t="s">
        <v>14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1" customWidth="1"/>
    <col min="3" max="3" width="18" customWidth="1"/>
    <col min="4" max="4" width="28" customWidth="1"/>
    <col min="6" max="7" width="15" customWidth="1"/>
  </cols>
  <sheetData>
    <row r="1">
      <c r="A1" t="s">
        <v>0</v>
      </c>
      <c r="B1" t="s">
        <v>1</v>
      </c>
      <c r="C1" t="s">
        <v>43</v>
      </c>
      <c r="D1" t="s">
        <v>44</v>
      </c>
      <c r="F1" t="s">
        <v>4</v>
      </c>
      <c r="G1" t="s">
        <v>5</v>
      </c>
    </row>
    <row r="2">
      <c r="B2" s="2">
        <v>-395</v>
      </c>
      <c r="C2" t="s">
        <v>6</v>
      </c>
      <c r="D2" t="s">
        <v>7</v>
      </c>
      <c r="F2" s="2">
        <f>G2+SUM(B2:B200)</f>
        <v>2051.32</v>
      </c>
      <c r="G2" s="2">
        <v>1861.04</v>
      </c>
    </row>
    <row r="3">
      <c r="B3" s="2">
        <f>-(250-80-25)</f>
        <v>-145</v>
      </c>
      <c r="C3" t="s">
        <v>12</v>
      </c>
      <c r="D3" t="s">
        <v>49</v>
      </c>
    </row>
    <row r="4">
      <c r="A4" s="1">
        <v>46293</v>
      </c>
      <c r="B4" s="2">
        <v>1110</v>
      </c>
      <c r="C4" t="s">
        <v>8</v>
      </c>
      <c r="D4" t="s">
        <v>9</v>
      </c>
    </row>
    <row r="5">
      <c r="A5" s="1">
        <v>46297</v>
      </c>
      <c r="B5" s="2">
        <v>-1.7</v>
      </c>
      <c r="C5" t="s">
        <v>10</v>
      </c>
      <c r="D5" t="s">
        <v>25</v>
      </c>
    </row>
    <row r="6">
      <c r="A6" s="1">
        <v>46297</v>
      </c>
      <c r="B6" s="2">
        <v>-1.8</v>
      </c>
      <c r="C6" t="s">
        <v>12</v>
      </c>
      <c r="D6" t="s">
        <v>14</v>
      </c>
    </row>
    <row r="7">
      <c r="A7" s="1">
        <v>46300</v>
      </c>
      <c r="B7" s="2">
        <v>182</v>
      </c>
      <c r="C7" t="s">
        <v>8</v>
      </c>
      <c r="D7" t="s">
        <v>18</v>
      </c>
    </row>
    <row r="8">
      <c r="A8" s="1">
        <v>46300</v>
      </c>
      <c r="B8" s="2">
        <v>-44.28</v>
      </c>
      <c r="C8" t="s">
        <v>12</v>
      </c>
      <c r="D8" t="s">
        <v>13</v>
      </c>
    </row>
    <row r="9">
      <c r="A9" s="1">
        <v>46301</v>
      </c>
      <c r="B9" s="2">
        <v>-1.7</v>
      </c>
      <c r="C9" t="s">
        <v>12</v>
      </c>
      <c r="D9" t="s">
        <v>31</v>
      </c>
    </row>
    <row r="10">
      <c r="A10" s="1">
        <v>46302</v>
      </c>
      <c r="B10" s="2">
        <v>-28.14</v>
      </c>
      <c r="C10" t="s">
        <v>15</v>
      </c>
      <c r="D10" t="s">
        <v>28</v>
      </c>
    </row>
    <row r="11">
      <c r="A11" s="1">
        <v>46302</v>
      </c>
      <c r="B11" s="2">
        <v>-26.01</v>
      </c>
      <c r="C11" t="s">
        <v>12</v>
      </c>
      <c r="D11" t="s">
        <v>13</v>
      </c>
    </row>
    <row r="12">
      <c r="A12" s="1">
        <v>46303</v>
      </c>
      <c r="B12" s="2">
        <v>-24.99</v>
      </c>
      <c r="C12" t="s">
        <v>6</v>
      </c>
      <c r="D12" t="s">
        <v>20</v>
      </c>
    </row>
    <row r="13">
      <c r="A13" s="1">
        <v>46303</v>
      </c>
      <c r="B13" s="2">
        <v>-20.29</v>
      </c>
      <c r="C13" t="s">
        <v>15</v>
      </c>
      <c r="D13" t="s">
        <v>28</v>
      </c>
    </row>
    <row r="14">
      <c r="A14" s="1">
        <v>46303</v>
      </c>
      <c r="B14" s="2">
        <v>-27.45</v>
      </c>
      <c r="C14" t="s">
        <v>15</v>
      </c>
      <c r="D14" t="s">
        <v>28</v>
      </c>
    </row>
    <row r="15">
      <c r="A15" s="1">
        <v>46304</v>
      </c>
      <c r="B15" s="2">
        <v>-20.63</v>
      </c>
      <c r="C15" t="s">
        <v>12</v>
      </c>
      <c r="D15" t="s">
        <v>13</v>
      </c>
    </row>
    <row r="16">
      <c r="A16" s="1">
        <v>46305</v>
      </c>
      <c r="B16" s="2">
        <v>-1.6</v>
      </c>
      <c r="C16" t="s">
        <v>12</v>
      </c>
      <c r="D16" t="s">
        <v>31</v>
      </c>
    </row>
    <row r="17">
      <c r="A17" s="1">
        <v>46305</v>
      </c>
      <c r="B17" s="2">
        <v>-34.95</v>
      </c>
      <c r="C17" t="s">
        <v>12</v>
      </c>
      <c r="D17" t="s">
        <v>13</v>
      </c>
    </row>
    <row r="18">
      <c r="A18" s="1">
        <v>46306</v>
      </c>
      <c r="B18" s="2">
        <v>-1.2</v>
      </c>
      <c r="C18" t="s">
        <v>12</v>
      </c>
      <c r="D18" t="s">
        <v>31</v>
      </c>
    </row>
    <row r="19">
      <c r="A19" s="1">
        <v>46307</v>
      </c>
      <c r="B19" s="2">
        <v>-35</v>
      </c>
      <c r="C19" t="s">
        <v>6</v>
      </c>
      <c r="D19" t="s">
        <v>24</v>
      </c>
    </row>
    <row r="20">
      <c r="A20" s="1">
        <v>46307</v>
      </c>
      <c r="B20" s="2">
        <v>-34.7</v>
      </c>
      <c r="C20" t="s">
        <v>12</v>
      </c>
      <c r="D20" t="s">
        <v>13</v>
      </c>
    </row>
    <row r="21">
      <c r="A21" s="1">
        <v>46307</v>
      </c>
      <c r="B21" s="2">
        <v>-10.63</v>
      </c>
      <c r="C21" t="s">
        <v>15</v>
      </c>
      <c r="D21" t="s">
        <v>16</v>
      </c>
    </row>
    <row r="22">
      <c r="A22" s="1">
        <v>46307</v>
      </c>
      <c r="B22" s="2">
        <v>-2.6</v>
      </c>
      <c r="C22" t="s">
        <v>12</v>
      </c>
      <c r="D22" t="s">
        <v>14</v>
      </c>
    </row>
    <row r="23">
      <c r="A23" s="1">
        <v>46308</v>
      </c>
      <c r="B23" s="2">
        <v>-4.07</v>
      </c>
      <c r="C23" t="s">
        <v>10</v>
      </c>
      <c r="D23" t="s">
        <v>11</v>
      </c>
    </row>
    <row r="24">
      <c r="A24" s="1">
        <v>46308</v>
      </c>
      <c r="B24" s="2">
        <v>-1.9</v>
      </c>
      <c r="C24" t="s">
        <v>12</v>
      </c>
      <c r="D24" t="s">
        <v>14</v>
      </c>
    </row>
    <row r="25">
      <c r="A25" s="1">
        <v>46310</v>
      </c>
      <c r="B25" s="2">
        <v>-1.6</v>
      </c>
      <c r="C25" t="s">
        <v>12</v>
      </c>
      <c r="D25" t="s">
        <v>14</v>
      </c>
    </row>
    <row r="26">
      <c r="A26" s="1">
        <v>46310</v>
      </c>
      <c r="B26" s="2">
        <v>-48.31</v>
      </c>
      <c r="C26" t="s">
        <v>12</v>
      </c>
      <c r="D26" t="s">
        <v>13</v>
      </c>
    </row>
    <row r="27">
      <c r="A27" s="1">
        <v>46310</v>
      </c>
      <c r="B27" s="2">
        <v>-31.64</v>
      </c>
      <c r="C27" t="s">
        <v>15</v>
      </c>
      <c r="D27" t="s">
        <v>28</v>
      </c>
    </row>
    <row r="28">
      <c r="A28" s="1">
        <v>46311</v>
      </c>
      <c r="B28" s="2">
        <v>-2.6</v>
      </c>
      <c r="C28" t="s">
        <v>12</v>
      </c>
      <c r="D28" t="s">
        <v>14</v>
      </c>
    </row>
    <row r="29">
      <c r="A29" s="1">
        <v>46311</v>
      </c>
      <c r="B29" s="2">
        <v>-1.9</v>
      </c>
      <c r="C29" t="s">
        <v>12</v>
      </c>
      <c r="D29" t="s">
        <v>14</v>
      </c>
    </row>
    <row r="30">
      <c r="A30" s="1">
        <v>46312</v>
      </c>
      <c r="B30" s="2">
        <v>-1.77</v>
      </c>
      <c r="C30" t="s">
        <v>10</v>
      </c>
      <c r="D30" t="s">
        <v>25</v>
      </c>
    </row>
    <row r="31">
      <c r="A31" s="1">
        <v>46314</v>
      </c>
      <c r="B31" s="2">
        <v>-8.68</v>
      </c>
      <c r="C31" t="s">
        <v>15</v>
      </c>
      <c r="D31" t="s">
        <v>16</v>
      </c>
    </row>
    <row r="32">
      <c r="A32" s="1">
        <v>46314</v>
      </c>
      <c r="B32" s="2">
        <v>-1.2</v>
      </c>
      <c r="C32" t="s">
        <v>12</v>
      </c>
      <c r="D32" t="s">
        <v>14</v>
      </c>
    </row>
    <row r="33">
      <c r="A33" s="1">
        <v>46314</v>
      </c>
      <c r="B33" s="2">
        <v>-17.55</v>
      </c>
      <c r="C33" t="s">
        <v>10</v>
      </c>
      <c r="D33" t="s">
        <v>22</v>
      </c>
    </row>
    <row r="34">
      <c r="A34" s="1">
        <v>46315</v>
      </c>
      <c r="B34" s="2">
        <v>-1.1</v>
      </c>
      <c r="C34" t="s">
        <v>12</v>
      </c>
      <c r="D34" t="s">
        <v>14</v>
      </c>
    </row>
    <row r="35">
      <c r="A35" s="1">
        <v>46315</v>
      </c>
      <c r="B35" s="2">
        <v>-50.65</v>
      </c>
      <c r="C35" t="s">
        <v>12</v>
      </c>
      <c r="D35" t="s">
        <v>13</v>
      </c>
    </row>
    <row r="36">
      <c r="A36" s="1">
        <v>46317</v>
      </c>
      <c r="B36" s="2">
        <v>-2.09</v>
      </c>
      <c r="C36" t="s">
        <v>12</v>
      </c>
      <c r="D36" t="s">
        <v>21</v>
      </c>
    </row>
    <row r="37">
      <c r="A37" s="1">
        <v>46317</v>
      </c>
      <c r="B37" s="2">
        <v>-2.05</v>
      </c>
      <c r="C37" t="s">
        <v>12</v>
      </c>
      <c r="D37" t="s">
        <v>21</v>
      </c>
    </row>
    <row r="38">
      <c r="A38" s="1">
        <v>46318</v>
      </c>
      <c r="B38" s="2">
        <v>12.8</v>
      </c>
      <c r="C38" t="s">
        <v>8</v>
      </c>
      <c r="D38" t="s">
        <v>39</v>
      </c>
    </row>
    <row r="39">
      <c r="A39" s="1">
        <v>46319</v>
      </c>
      <c r="B39" s="2">
        <v>-1.6</v>
      </c>
      <c r="C39" t="s">
        <v>12</v>
      </c>
      <c r="D39" t="s">
        <v>14</v>
      </c>
    </row>
    <row r="40">
      <c r="A40" s="1">
        <v>46319</v>
      </c>
      <c r="B40" s="2">
        <v>-2.11</v>
      </c>
      <c r="C40" t="s">
        <v>12</v>
      </c>
      <c r="D40" t="s">
        <v>21</v>
      </c>
    </row>
    <row r="41">
      <c r="A41" s="1">
        <v>46319</v>
      </c>
      <c r="B41" s="2">
        <v>-16.54</v>
      </c>
      <c r="C41" t="s">
        <v>12</v>
      </c>
      <c r="D41" t="s">
        <v>29</v>
      </c>
    </row>
    <row r="42">
      <c r="A42" s="1">
        <v>46321</v>
      </c>
      <c r="B42" s="2">
        <v>-1.3</v>
      </c>
      <c r="C42" t="s">
        <v>12</v>
      </c>
      <c r="D42" t="s">
        <v>14</v>
      </c>
    </row>
    <row r="43">
      <c r="A43" s="1">
        <v>46322</v>
      </c>
      <c r="B43" s="2">
        <v>-1.5</v>
      </c>
      <c r="C43" t="s">
        <v>12</v>
      </c>
      <c r="D43" t="s">
        <v>31</v>
      </c>
    </row>
    <row r="44">
      <c r="A44" s="1">
        <v>46322</v>
      </c>
      <c r="B44" s="2">
        <v>-1.3</v>
      </c>
      <c r="C44" t="s">
        <v>12</v>
      </c>
      <c r="D44" t="s">
        <v>14</v>
      </c>
    </row>
    <row r="45">
      <c r="A45" s="1">
        <v>46322</v>
      </c>
      <c r="B45" s="2">
        <v>-52.59</v>
      </c>
      <c r="C45" t="s">
        <v>10</v>
      </c>
      <c r="D45" t="s">
        <v>26</v>
      </c>
    </row>
    <row r="46">
      <c r="A46" s="1">
        <v>46322</v>
      </c>
      <c r="B46" s="2">
        <v>-2.8</v>
      </c>
      <c r="C46" t="s">
        <v>12</v>
      </c>
      <c r="D46" t="s">
        <v>14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1" customWidth="1"/>
    <col min="3" max="3" width="18" customWidth="1"/>
    <col min="4" max="4" width="28" customWidth="1"/>
    <col min="6" max="7" width="15" customWidth="1"/>
  </cols>
  <sheetData>
    <row r="1">
      <c r="A1" t="s">
        <v>50</v>
      </c>
      <c r="B1" t="s">
        <v>4</v>
      </c>
    </row>
    <row r="2">
      <c r="A2" t="s">
        <v>51</v>
      </c>
      <c r="B2" s="2">
        <f>Novembre2025!F2</f>
        <v>793.68</v>
      </c>
    </row>
    <row r="3">
      <c r="A3" t="s">
        <v>52</v>
      </c>
      <c r="B3" s="2">
        <f>Decembre2025!F2</f>
        <v>1342.61</v>
      </c>
    </row>
    <row r="4">
      <c r="A4" t="s">
        <v>53</v>
      </c>
      <c r="B4" s="2">
        <f>Janvier2026!F2</f>
        <v>1576.3</v>
      </c>
    </row>
    <row r="5">
      <c r="A5" t="s">
        <v>54</v>
      </c>
      <c r="B5" s="2">
        <f>Fevrier2026!F2</f>
        <v>1857.81</v>
      </c>
    </row>
    <row r="6">
      <c r="A6" t="s">
        <v>55</v>
      </c>
      <c r="B6" s="2">
        <f>Mars2026!F2</f>
        <v>1769.75</v>
      </c>
    </row>
    <row r="7">
      <c r="A7" t="s">
        <v>56</v>
      </c>
      <c r="B7" s="2">
        <f>Avril2026!F2</f>
        <v>1861.04</v>
      </c>
    </row>
    <row r="8">
      <c r="A8" t="s">
        <v>57</v>
      </c>
      <c r="B8" s="2">
        <f>Octobre2026!F2</f>
        <v>2051.32</v>
      </c>
    </row>
  </sheetData>
</worksheet>
</file>